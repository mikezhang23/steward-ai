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ikez\steward-landing\"/>
    </mc:Choice>
  </mc:AlternateContent>
  <xr:revisionPtr revIDLastSave="0" documentId="13_ncr:1_{9030E4ED-8B3B-4B9A-94E8-FC6A0E319DFE}" xr6:coauthVersionLast="47" xr6:coauthVersionMax="47" xr10:uidLastSave="{00000000-0000-0000-0000-000000000000}"/>
  <bookViews>
    <workbookView xWindow="-108" yWindow="-108" windowWidth="23256" windowHeight="12456" tabRatio="500" xr2:uid="{00000000-000D-0000-FFFF-FFFF00000000}"/>
  </bookViews>
  <sheets>
    <sheet name="Maintenance Events" sheetId="1" r:id="rId1"/>
    <sheet name="Vendor Research" sheetId="2" r:id="rId2"/>
    <sheet name="Vendor Communication" sheetId="3" r:id="rId3"/>
    <sheet name="Completed Jobs" sheetId="4" r:id="rId4"/>
    <sheet name="Homeowner Feedback" sheetId="5" r:id="rId5"/>
    <sheet name="Validation Dashboar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3" i="5" l="1"/>
  <c r="F22" i="5"/>
  <c r="F21" i="5"/>
  <c r="F20" i="5"/>
  <c r="F19" i="5"/>
  <c r="F18" i="5"/>
  <c r="F17" i="5"/>
  <c r="F16" i="5"/>
  <c r="F15" i="5"/>
  <c r="F14" i="5"/>
  <c r="F13" i="5"/>
  <c r="F12" i="5"/>
  <c r="F11" i="5"/>
  <c r="F10" i="5"/>
  <c r="F9" i="5"/>
  <c r="F8" i="5"/>
  <c r="F7" i="5"/>
  <c r="F6" i="5"/>
  <c r="F5" i="5"/>
  <c r="F4" i="5"/>
  <c r="J23" i="4"/>
  <c r="J22" i="4"/>
  <c r="J21" i="4"/>
  <c r="J20" i="4"/>
  <c r="J19" i="4"/>
  <c r="J18" i="4"/>
  <c r="J17" i="4"/>
  <c r="J16" i="4"/>
  <c r="J15" i="4"/>
  <c r="J14" i="4"/>
  <c r="J13" i="4"/>
  <c r="J12" i="4"/>
  <c r="J11" i="4"/>
  <c r="J10" i="4"/>
  <c r="J9" i="4"/>
  <c r="J8" i="4"/>
  <c r="J7" i="4"/>
  <c r="J6" i="4"/>
  <c r="J5" i="4"/>
  <c r="J4" i="4"/>
  <c r="G32" i="3"/>
  <c r="G31" i="3"/>
  <c r="G30" i="3"/>
  <c r="G29" i="3"/>
  <c r="G28" i="3"/>
  <c r="G27" i="3"/>
  <c r="G26" i="3"/>
  <c r="G25" i="3"/>
  <c r="G24" i="3"/>
  <c r="G23" i="3"/>
  <c r="G22" i="3"/>
  <c r="G21" i="3"/>
  <c r="G20" i="3"/>
  <c r="G19" i="3"/>
  <c r="G18" i="3"/>
  <c r="G17" i="3"/>
  <c r="G16" i="3"/>
  <c r="G15" i="3"/>
  <c r="G14" i="3"/>
  <c r="G13" i="3"/>
  <c r="G12" i="3"/>
  <c r="G11" i="3"/>
  <c r="G9" i="3"/>
  <c r="G8" i="3"/>
  <c r="G7" i="3"/>
  <c r="G10" i="3"/>
  <c r="G6" i="3"/>
  <c r="G5" i="3"/>
  <c r="G4" i="3"/>
  <c r="P23" i="1"/>
  <c r="P22" i="1"/>
  <c r="P21" i="1"/>
  <c r="P20" i="1"/>
  <c r="P19" i="1"/>
  <c r="P18" i="1"/>
  <c r="P17" i="1"/>
  <c r="P16" i="1"/>
  <c r="P15" i="1"/>
  <c r="P14" i="1"/>
  <c r="P13" i="1"/>
  <c r="P12" i="1"/>
  <c r="P11" i="1"/>
  <c r="P10" i="1"/>
  <c r="P9" i="1"/>
  <c r="P8" i="1"/>
  <c r="P7" i="1"/>
  <c r="P6" i="1"/>
  <c r="P5" i="1"/>
  <c r="P4" i="1"/>
</calcChain>
</file>

<file path=xl/sharedStrings.xml><?xml version="1.0" encoding="utf-8"?>
<sst xmlns="http://schemas.openxmlformats.org/spreadsheetml/2006/main" count="256" uniqueCount="174">
  <si>
    <t>MAINTENANCE EVENTS — maps to maintenance_tasks + incident-to-scheduled tracking</t>
  </si>
  <si>
    <t>System Category: hvac | water_heater | plumbing | electrical | appliance | pool | roof | garage | exterior | other  •  Task Type: proactive | reactive | seasonal  •  Priority: low | medium | high | urgent  •  Status: reported | researching | quoted | scheduled | completed</t>
  </si>
  <si>
    <t>Event ID</t>
  </si>
  <si>
    <t>Date Reported</t>
  </si>
  <si>
    <t>Property Address</t>
  </si>
  <si>
    <t>Homeowner Name</t>
  </si>
  <si>
    <t>System Category</t>
  </si>
  <si>
    <t>System Type</t>
  </si>
  <si>
    <t>Issue Description</t>
  </si>
  <si>
    <t>Task Type</t>
  </si>
  <si>
    <t>Priority</t>
  </si>
  <si>
    <t>Status</t>
  </si>
  <si>
    <t>Issue Reported At</t>
  </si>
  <si>
    <t>Research Started At</t>
  </si>
  <si>
    <t>Vendors Contacted At</t>
  </si>
  <si>
    <t>First Quote Received At</t>
  </si>
  <si>
    <t>Appointment Scheduled At</t>
  </si>
  <si>
    <t>Total Elapsed (hrs)</t>
  </si>
  <si>
    <t>Homeowner Active Time (min)</t>
  </si>
  <si>
    <t>Homeowner Baseline Estimate (min)</t>
  </si>
  <si>
    <t>Actual Cost</t>
  </si>
  <si>
    <t>Notes</t>
  </si>
  <si>
    <t>VENDOR RESEARCH — maps to vendors table + review pattern analysis</t>
  </si>
  <si>
    <t>One row per vendor researched per event. Multiple vendors per event expected (top 3-5 candidates).</t>
  </si>
  <si>
    <t>Vendor Name</t>
  </si>
  <si>
    <t>Service Category</t>
  </si>
  <si>
    <t>Phone</t>
  </si>
  <si>
    <t>Email</t>
  </si>
  <si>
    <t>Google Rating</t>
  </si>
  <si>
    <t>Google Review Count</t>
  </si>
  <si>
    <t>Distance (mi)</t>
  </si>
  <si>
    <t>Review Temporal Flag</t>
  </si>
  <si>
    <t>Review Pattern Notes</t>
  </si>
  <si>
    <t>Why This Vendor (strengths)</t>
  </si>
  <si>
    <t>Risk Flags</t>
  </si>
  <si>
    <t>Typical Response Time</t>
  </si>
  <si>
    <t>Estimated Price Range</t>
  </si>
  <si>
    <t>Price Source</t>
  </si>
  <si>
    <t>Recommended? (Y/N)</t>
  </si>
  <si>
    <t>VENDOR COMMUNICATION LOG — maps to vendor_messages table + Layer 3 Lite validation</t>
  </si>
  <si>
    <t>Log every text, email, and call with vendors. Tests whether vendors respond to third-party contact and how quickly.</t>
  </si>
  <si>
    <t>Channel</t>
  </si>
  <si>
    <t>Direction</t>
  </si>
  <si>
    <t>Timestamp Sent</t>
  </si>
  <si>
    <t>Timestamp Reply Received</t>
  </si>
  <si>
    <t>Response Time (hrs)</t>
  </si>
  <si>
    <t>Message Content (summary)</t>
  </si>
  <si>
    <t>Vendor Reply (summary)</t>
  </si>
  <si>
    <t>Was Reply Clear/Actionable?</t>
  </si>
  <si>
    <t>Would AI Parse This Correctly?</t>
  </si>
  <si>
    <t>COMPLETED JOBS — maps to vendor_jobs table (standardized job record for data flywheel)</t>
  </si>
  <si>
    <t>One row per completed job. This is the data that eventually powers Steward Verified Pricing.</t>
  </si>
  <si>
    <t>Service Type</t>
  </si>
  <si>
    <t>Scope Description</t>
  </si>
  <si>
    <t>ZIP Code</t>
  </si>
  <si>
    <t>Service Date</t>
  </si>
  <si>
    <t>Quoted Cost</t>
  </si>
  <si>
    <t>Cost Delta</t>
  </si>
  <si>
    <t>Rating (1-5)</t>
  </si>
  <si>
    <t>Would Hire Again?</t>
  </si>
  <si>
    <t>Time to Scheduled (hrs)</t>
  </si>
  <si>
    <t>Issue Recurred?</t>
  </si>
  <si>
    <t>Review / Notes</t>
  </si>
  <si>
    <t>HOMEOWNER FEEDBACK — validation data (maps to KPIs in spec)</t>
  </si>
  <si>
    <t>Post-event feedback from each homeowner. Directly maps to outcome-based KPIs: "would use again," baseline time estimate, pricing conversation.</t>
  </si>
  <si>
    <t>Date</t>
  </si>
  <si>
    <t>Their Baseline Estimate (min)</t>
  </si>
  <si>
    <t>Their Active Time w/ Steward (min)</t>
  </si>
  <si>
    <t>Time Saved (min)</t>
  </si>
  <si>
    <t>Trusted Recommendation? (Y/N)</t>
  </si>
  <si>
    <t>Would Use Again? (Y/N)</t>
  </si>
  <si>
    <t>Would Pay Pro ($39/mo)?</t>
  </si>
  <si>
    <t>Would Pay Premium ($79/mo)?</t>
  </si>
  <si>
    <t>Verbatim Feedback / Quotes</t>
  </si>
  <si>
    <t>VALIDATION DASHBOARD — Go/No-Go Scorecard</t>
  </si>
  <si>
    <t>KPI</t>
  </si>
  <si>
    <t>Target</t>
  </si>
  <si>
    <t>Actual</t>
  </si>
  <si>
    <t>Source</t>
  </si>
  <si>
    <t>Homeowners who actually texted when something broke</t>
  </si>
  <si>
    <t>3 of 5 (60%)</t>
  </si>
  <si>
    <t>Maintenance Events tab</t>
  </si>
  <si>
    <t>Vendor response rate within 24 hrs</t>
  </si>
  <si>
    <t>60%+</t>
  </si>
  <si>
    <t>Vendor Communication tab</t>
  </si>
  <si>
    <t>Avg incident-to-scheduled time (elapsed hrs)</t>
  </si>
  <si>
    <t>&lt;24 hrs</t>
  </si>
  <si>
    <t>Maintenance Events col P</t>
  </si>
  <si>
    <t>Avg homeowner active time per incident</t>
  </si>
  <si>
    <t>&lt;5 min</t>
  </si>
  <si>
    <t>Homeowner Feedback col E</t>
  </si>
  <si>
    <t>Avg time saved vs baseline (min)</t>
  </si>
  <si>
    <t>30+ min</t>
  </si>
  <si>
    <t>Homeowner Feedback col F</t>
  </si>
  <si>
    <t>% who trusted recommendation without second-guessing</t>
  </si>
  <si>
    <t>70%+</t>
  </si>
  <si>
    <t>Homeowner Feedback col G</t>
  </si>
  <si>
    <t>"Would use again" rate</t>
  </si>
  <si>
    <t>85%+</t>
  </si>
  <si>
    <t>Homeowner Feedback col H</t>
  </si>
  <si>
    <t>Would pay Pro ($39/mo)</t>
  </si>
  <si>
    <t>3+ of 5</t>
  </si>
  <si>
    <t>Homeowner Feedback col I</t>
  </si>
  <si>
    <t>Would pay Premium ($79/mo)</t>
  </si>
  <si>
    <t>2+ of 5</t>
  </si>
  <si>
    <t>Homeowner Feedback col J</t>
  </si>
  <si>
    <t>Landing page conversion rate (email signups)</t>
  </si>
  <si>
    <t>2%+</t>
  </si>
  <si>
    <t>Ad test data</t>
  </si>
  <si>
    <t>GO SIGNALS: 3+ homeowners used the service • 60%+ vendor response rate • 30+ min saved per incident • 2+ would pay Premium • 2%+ landing page conversion</t>
  </si>
  <si>
    <t>NO-GO SIGNALS: Homeowners forgot to text you • Vendors ignored third-party contact • Time savings under 15 min • Everyone balked at price • Landing page got crickets</t>
  </si>
  <si>
    <t>Kelly</t>
  </si>
  <si>
    <t>other</t>
  </si>
  <si>
    <t>Items to be fixed: - 6 wall shelves loose - 2 loose toilet paper holders - patch up 6 spots in the walls - install 1 towel rack - fix light in mater closet</t>
  </si>
  <si>
    <t>reactive</t>
  </si>
  <si>
    <t>high</t>
  </si>
  <si>
    <t>reported</t>
  </si>
  <si>
    <t>5008 W Dodge Ridge Ave, Las Vegas, NV 89139</t>
  </si>
  <si>
    <t>Ideal Handyman LLC</t>
  </si>
  <si>
    <t>‪(702) 900-1040‬</t>
  </si>
  <si>
    <t>‪(725) 777-9797‬</t>
  </si>
  <si>
    <t>Save More Handyman Services</t>
  </si>
  <si>
    <t>Reviews specifically mention shelves, mirrors, fixtures. Fast response.</t>
  </si>
  <si>
    <t>Cesar gets personal praise. Installs mirrors, sconces, small repairs.</t>
  </si>
  <si>
    <t>None found</t>
  </si>
  <si>
    <t>$200-400</t>
  </si>
  <si>
    <t>Y</t>
  </si>
  <si>
    <t>Closes at 5 PM, no weekends</t>
  </si>
  <si>
    <t>text</t>
  </si>
  <si>
    <t>outbound</t>
  </si>
  <si>
    <t>Without looking, around $585</t>
  </si>
  <si>
    <t>Hi, I'm reaching out on behalf of a homeowner at a property in Enterprise (89139). Looking for a handyman for the following work:
- Reattach 6 wall shelves (coming loose)
- Tighten/reinstall 2 toilet paper holders
- Patch up 6 spots in walls
- Install 1 towel rack
- Fix light in master closet
Could you provide a rough estimate and your earliest availability? Happy to send photos if helpful. Thanks!</t>
  </si>
  <si>
    <t>Two Brothers Handyman</t>
  </si>
  <si>
    <t>(702) 661-5188</t>
  </si>
  <si>
    <t>Basically neighbors to Enterprise. Open Saturday 10-4. Reviews mention shelves, mirrors, cabinet hardware, fixture installs. One reviewer flagged rudeness over phone, but the rest are strong.</t>
  </si>
  <si>
    <t>We have no openings this weekend. We also charged by the hour. It's $120 an hour if I send Joseph and it just depends on how long it takes materials are in addition to labor rates.</t>
  </si>
  <si>
    <t>Hi, I'm reaching out on behalf of a homeowner at a property in Enterprise (89139). Looking for a handyman for:
- Reattach 6 wall shelves (coming loose)
- Tighten/reinstall 2 toilet paper holders
- Patch up 6 spots in walls
- Install 1 towel rack
- Fix light in master closet
Looking to get this done this weekend if possible. Could you provide a rough estimate and your availability? Happy to send photos. Thanks!</t>
  </si>
  <si>
    <t>N</t>
  </si>
  <si>
    <t>- Product logic (log this for the spec):
-- Vendor doesn't respond within 30 min → auto-send a follow-up
-- Still nothing at 2 hours → expand to next 2-3 vendors automatically
-- Urgent/same-day requests → contact 3-5 vendors simultaneously from the start, not sequentially
-- The AI should always have a "bench" of pre-researched backups ready
- Product rule to log: The vendor recommendation engine needs a real-time availability filter. Before any outreach, cross-reference the urgency level against each vendor's posted hours and day of week. Only contact vendors who can plausibly serve within the requested window. This alone would have made the first round of outreach more effective — we'd have skipped Ideal and contacted Two Brothers or another weekend-available vendor from the start.
- Product flow update: When a homeowner texts an issue, the AI's immediate response should be:
-- Acknowledge the issue
-- Ask for photos — "Can you snap a quick photo of each spot? It'll help me get you faster, more accurate quotes."
-- Then begin vendor research in parallel while waiting for photos</t>
  </si>
  <si>
    <t>Save More conversation stalled due to Google Voice file type limitation. Vendor was engaged but text channel broke down. Would have required phone call to close. AI can't do this in MVP without voice API integration.</t>
  </si>
  <si>
    <t>Wasn't able to quote us until we sent him pictures.</t>
  </si>
  <si>
    <t>Farzad</t>
  </si>
  <si>
    <t>Dylan Clements</t>
  </si>
  <si>
    <t>Eddie Saul</t>
  </si>
  <si>
    <t>Andres</t>
  </si>
  <si>
    <t>Charles</t>
  </si>
  <si>
    <t>Chris</t>
  </si>
  <si>
    <t>handyman</t>
  </si>
  <si>
    <t>(725) 267-7176</t>
  </si>
  <si>
    <t>(702) 343-3614</t>
  </si>
  <si>
    <t>(702) 575-5174</t>
  </si>
  <si>
    <t>(702) 901-1666</t>
  </si>
  <si>
    <t>Used in past</t>
  </si>
  <si>
    <t>$450-525 if need to paint match</t>
  </si>
  <si>
    <t>electrician</t>
  </si>
  <si>
    <t>(702) 420-3007</t>
  </si>
  <si>
    <t>Sergio Hernandez</t>
  </si>
  <si>
    <t>(702) 906-6569</t>
  </si>
  <si>
    <t>(702) 890-2010</t>
  </si>
  <si>
    <t>in-person</t>
  </si>
  <si>
    <t>Quoted us $120 for the electrical work in the closet (light won't work even with new bulbs)</t>
  </si>
  <si>
    <t>Kelly's renovation contractor</t>
  </si>
  <si>
    <t>- Reattach 6 wall shelves (coming loose)
- Tighten/reinstall 2 toilet paper holders
- Patch up 6 spots in walls
- Install 1 towel rack
- Fix light in master closet</t>
  </si>
  <si>
    <t>Steward recommended cost: $585 (-$385 delta). Used existing homeowner relationship and got a much better price.</t>
  </si>
  <si>
    <t>I can do it for $750</t>
  </si>
  <si>
    <t>tbd - no price given</t>
  </si>
  <si>
    <t>never answered</t>
  </si>
  <si>
    <t>Would do it for $200</t>
  </si>
  <si>
    <t>You can visit https://www.idealhandyman.net fill the contact form/request form, and attach some pictures along with a description of your needs. With this information, we will provide a rough estimate at no cost.
if you prefer an in-person visit, let me know, at the moment , the closest spot is after 03/13</t>
  </si>
  <si>
    <t>Sent the following Monday after text was sent Saturday</t>
  </si>
  <si>
    <t>Scheduled for next weekend; but, we learned that she already had a contractor that did work for her renovation in the past that could do it for much cheaper than the new vendors we contacted</t>
  </si>
  <si>
    <t>Claude</t>
  </si>
  <si>
    <t>Rudeness over phone</t>
  </si>
  <si>
    <t>Would do it for $900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</si>
</sst>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0"/>
  </numFmts>
  <fonts count="9" x14ac:knownFonts="1">
    <font>
      <sz val="11"/>
      <color theme="1"/>
      <name val="Calibri"/>
      <family val="2"/>
      <charset val="1"/>
    </font>
    <font>
      <b/>
      <sz val="13"/>
      <color rgb="FF1B2A4A"/>
      <name val="Arial"/>
      <family val="2"/>
    </font>
    <font>
      <i/>
      <sz val="9"/>
      <color rgb="FF666666"/>
      <name val="Arial"/>
      <family val="2"/>
    </font>
    <font>
      <b/>
      <sz val="11"/>
      <color rgb="FFFFFFFF"/>
      <name val="Arial"/>
      <family val="2"/>
    </font>
    <font>
      <sz val="10"/>
      <color rgb="FF0000FF"/>
      <name val="Arial"/>
      <family val="2"/>
    </font>
    <font>
      <b/>
      <sz val="10"/>
      <color rgb="FF006100"/>
      <name val="Arial"/>
      <family val="2"/>
    </font>
    <font>
      <b/>
      <sz val="10"/>
      <color rgb="FF9C0006"/>
      <name val="Arial"/>
      <family val="2"/>
    </font>
    <font>
      <sz val="9"/>
      <color rgb="FF666666"/>
      <name val="Arial"/>
      <family val="2"/>
    </font>
    <font>
      <sz val="11"/>
      <color rgb="FF666666"/>
      <name val="Arial"/>
      <family val="2"/>
    </font>
  </fonts>
  <fills count="5">
    <fill>
      <patternFill patternType="none"/>
    </fill>
    <fill>
      <patternFill patternType="gray125"/>
    </fill>
    <fill>
      <patternFill patternType="solid">
        <fgColor rgb="FF1B2A4A"/>
        <bgColor rgb="FF003366"/>
      </patternFill>
    </fill>
    <fill>
      <patternFill patternType="solid">
        <fgColor rgb="FFC6EFCE"/>
        <bgColor rgb="FFCCFFFF"/>
      </patternFill>
    </fill>
    <fill>
      <patternFill patternType="solid">
        <fgColor rgb="FFFFC7CE"/>
        <bgColor rgb="FFD0D5DD"/>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20">
    <xf numFmtId="0" fontId="0" fillId="0" borderId="0" xfId="0"/>
    <xf numFmtId="0" fontId="1" fillId="0" borderId="0" xfId="0" applyFont="1" applyAlignment="1">
      <alignment horizontal="left"/>
    </xf>
    <xf numFmtId="0" fontId="2" fillId="0" borderId="0" xfId="0" applyFont="1" applyAlignment="1">
      <alignment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164" fontId="4" fillId="0" borderId="1" xfId="0" applyNumberFormat="1" applyFont="1" applyBorder="1" applyAlignment="1">
      <alignment vertical="top" wrapText="1"/>
    </xf>
    <xf numFmtId="0" fontId="1" fillId="0" borderId="0" xfId="0" applyFont="1"/>
    <xf numFmtId="165" fontId="4" fillId="0" borderId="1" xfId="0" applyNumberFormat="1" applyFont="1" applyBorder="1" applyAlignment="1">
      <alignment vertical="top" wrapText="1"/>
    </xf>
    <xf numFmtId="1" fontId="4" fillId="0" borderId="1" xfId="0" applyNumberFormat="1" applyFont="1" applyBorder="1" applyAlignment="1">
      <alignment vertical="top" wrapText="1"/>
    </xf>
    <xf numFmtId="14" fontId="4" fillId="0" borderId="1" xfId="0" applyNumberFormat="1" applyFont="1" applyBorder="1" applyAlignment="1">
      <alignment vertical="top" wrapText="1"/>
    </xf>
    <xf numFmtId="0" fontId="7" fillId="0" borderId="0" xfId="0" applyFont="1" applyAlignment="1">
      <alignment wrapText="1"/>
    </xf>
    <xf numFmtId="0" fontId="8" fillId="0" borderId="0" xfId="0" applyFont="1"/>
    <xf numFmtId="18" fontId="4" fillId="0" borderId="1" xfId="0" applyNumberFormat="1" applyFont="1" applyBorder="1" applyAlignment="1">
      <alignment vertical="top" wrapText="1"/>
    </xf>
    <xf numFmtId="0" fontId="0" fillId="0" borderId="0" xfId="0" applyAlignment="1">
      <alignment wrapText="1"/>
    </xf>
    <xf numFmtId="0" fontId="5" fillId="3" borderId="0" xfId="0" applyFont="1" applyFill="1" applyAlignment="1">
      <alignment horizontal="centerContinuous" wrapText="1"/>
    </xf>
    <xf numFmtId="0" fontId="6" fillId="4" borderId="0" xfId="0" applyFont="1" applyFill="1" applyAlignment="1">
      <alignment horizontal="centerContinuous" wrapText="1"/>
    </xf>
    <xf numFmtId="0" fontId="4" fillId="0" borderId="1" xfId="0" applyFont="1" applyBorder="1" applyAlignment="1">
      <alignment vertical="top"/>
    </xf>
    <xf numFmtId="0" fontId="4" fillId="0" borderId="1" xfId="0" quotePrefix="1" applyFont="1" applyBorder="1" applyAlignment="1">
      <alignment vertical="top" wrapText="1"/>
    </xf>
    <xf numFmtId="0" fontId="6" fillId="4" borderId="0" xfId="0" applyFont="1" applyFill="1" applyAlignment="1">
      <alignment horizontal="center" wrapText="1"/>
    </xf>
    <xf numFmtId="6" fontId="4"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zoomScale="70" zoomScaleNormal="70" workbookViewId="0">
      <pane ySplit="3" topLeftCell="A4" activePane="bottomLeft" state="frozen"/>
      <selection pane="bottomLeft" activeCell="L10" sqref="L10"/>
    </sheetView>
  </sheetViews>
  <sheetFormatPr defaultColWidth="8.6640625" defaultRowHeight="14.4" x14ac:dyDescent="0.3"/>
  <cols>
    <col min="1" max="1" width="10" customWidth="1"/>
    <col min="2" max="2" width="12" customWidth="1"/>
    <col min="3" max="3" width="20" customWidth="1"/>
    <col min="4" max="4" width="15" customWidth="1"/>
    <col min="5" max="5" width="14" customWidth="1"/>
    <col min="6" max="6" width="20" customWidth="1"/>
    <col min="7" max="7" width="30" customWidth="1"/>
    <col min="8" max="8" width="12" customWidth="1"/>
    <col min="9" max="9" width="10" customWidth="1"/>
    <col min="10" max="10" width="12" customWidth="1"/>
    <col min="11" max="15" width="18" customWidth="1"/>
    <col min="16" max="18" width="14" customWidth="1"/>
    <col min="19" max="19" width="12" customWidth="1"/>
    <col min="20" max="20" width="30" customWidth="1"/>
  </cols>
  <sheetData>
    <row r="1" spans="1:20" ht="16.8" x14ac:dyDescent="0.3">
      <c r="A1" s="1" t="s">
        <v>0</v>
      </c>
      <c r="B1" s="1"/>
      <c r="C1" s="1"/>
      <c r="D1" s="1"/>
      <c r="E1" s="1"/>
      <c r="F1" s="1"/>
      <c r="G1" s="1"/>
      <c r="H1" s="1"/>
      <c r="I1" s="1"/>
      <c r="J1" s="1"/>
      <c r="K1" s="1"/>
      <c r="L1" s="1"/>
      <c r="M1" s="1"/>
      <c r="N1" s="1"/>
      <c r="O1" s="1"/>
      <c r="P1" s="1"/>
      <c r="Q1" s="1"/>
      <c r="R1" s="1"/>
      <c r="S1" s="1"/>
      <c r="T1" s="1"/>
    </row>
    <row r="2" spans="1:20" ht="15" customHeight="1" x14ac:dyDescent="0.3">
      <c r="A2" s="11" t="s">
        <v>1</v>
      </c>
      <c r="B2" s="10"/>
      <c r="C2" s="10"/>
      <c r="D2" s="10"/>
      <c r="E2" s="10"/>
      <c r="F2" s="10"/>
      <c r="G2" s="10"/>
      <c r="H2" s="10"/>
      <c r="I2" s="10"/>
      <c r="J2" s="10"/>
      <c r="K2" s="10"/>
      <c r="L2" s="10"/>
      <c r="M2" s="10"/>
      <c r="N2" s="10"/>
      <c r="O2" s="10"/>
      <c r="P2" s="10"/>
      <c r="Q2" s="10"/>
      <c r="R2" s="10"/>
      <c r="S2" s="10"/>
      <c r="T2" s="10"/>
    </row>
    <row r="3" spans="1:20" ht="55.2" x14ac:dyDescent="0.3">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spans="1:20" ht="79.2" x14ac:dyDescent="0.3">
      <c r="A4" s="4">
        <v>1</v>
      </c>
      <c r="B4" s="9">
        <v>46081</v>
      </c>
      <c r="C4" s="4" t="s">
        <v>117</v>
      </c>
      <c r="D4" s="4" t="s">
        <v>111</v>
      </c>
      <c r="E4" s="4" t="s">
        <v>147</v>
      </c>
      <c r="F4" s="4" t="s">
        <v>112</v>
      </c>
      <c r="G4" s="4" t="s">
        <v>113</v>
      </c>
      <c r="H4" s="4" t="s">
        <v>114</v>
      </c>
      <c r="I4" s="4" t="s">
        <v>115</v>
      </c>
      <c r="J4" s="4" t="s">
        <v>116</v>
      </c>
      <c r="K4" s="12">
        <v>0.52083333333333337</v>
      </c>
      <c r="L4" s="12">
        <v>0.54166666666666663</v>
      </c>
      <c r="M4" s="12">
        <v>0.5493055555555556</v>
      </c>
      <c r="N4" s="12">
        <v>0.55694444444444446</v>
      </c>
      <c r="O4" s="12">
        <v>0.66666666666666663</v>
      </c>
      <c r="P4" s="5">
        <f t="shared" ref="P4:P23" si="0">IF(AND(O4&lt;&gt;"",K4&lt;&gt;""),(O4-K4)*24,"")</f>
        <v>3.4999999999999982</v>
      </c>
      <c r="Q4" s="4">
        <v>5</v>
      </c>
      <c r="R4" s="4">
        <v>30</v>
      </c>
      <c r="S4" s="19">
        <v>200</v>
      </c>
      <c r="T4" s="4" t="s">
        <v>170</v>
      </c>
    </row>
    <row r="5" spans="1:20" x14ac:dyDescent="0.3">
      <c r="A5" s="4"/>
      <c r="B5" s="4"/>
      <c r="C5" s="4"/>
      <c r="D5" s="4"/>
      <c r="E5" s="4"/>
      <c r="F5" s="4"/>
      <c r="G5" s="4"/>
      <c r="H5" s="4"/>
      <c r="I5" s="4"/>
      <c r="J5" s="4"/>
      <c r="K5" s="4"/>
      <c r="L5" s="4"/>
      <c r="M5" s="4"/>
      <c r="N5" s="4"/>
      <c r="O5" s="4"/>
      <c r="P5" s="5" t="str">
        <f t="shared" si="0"/>
        <v/>
      </c>
      <c r="Q5" s="4"/>
      <c r="R5" s="4"/>
      <c r="S5" s="4"/>
      <c r="T5" s="4"/>
    </row>
    <row r="6" spans="1:20" x14ac:dyDescent="0.3">
      <c r="A6" s="4"/>
      <c r="B6" s="4"/>
      <c r="C6" s="4"/>
      <c r="D6" s="4"/>
      <c r="E6" s="4"/>
      <c r="F6" s="4"/>
      <c r="G6" s="4"/>
      <c r="H6" s="4"/>
      <c r="I6" s="4"/>
      <c r="J6" s="4"/>
      <c r="K6" s="4"/>
      <c r="L6" s="4"/>
      <c r="M6" s="4"/>
      <c r="N6" s="4"/>
      <c r="O6" s="4"/>
      <c r="P6" s="5" t="str">
        <f t="shared" si="0"/>
        <v/>
      </c>
      <c r="Q6" s="4"/>
      <c r="R6" s="4"/>
      <c r="S6" s="4"/>
      <c r="T6" s="4"/>
    </row>
    <row r="7" spans="1:20" x14ac:dyDescent="0.3">
      <c r="A7" s="4"/>
      <c r="B7" s="4"/>
      <c r="C7" s="4"/>
      <c r="D7" s="4"/>
      <c r="E7" s="4"/>
      <c r="F7" s="4"/>
      <c r="G7" s="4"/>
      <c r="H7" s="4"/>
      <c r="I7" s="4"/>
      <c r="J7" s="4"/>
      <c r="K7" s="4"/>
      <c r="L7" s="4"/>
      <c r="M7" s="4"/>
      <c r="N7" s="4"/>
      <c r="O7" s="4"/>
      <c r="P7" s="5" t="str">
        <f t="shared" si="0"/>
        <v/>
      </c>
      <c r="Q7" s="4"/>
      <c r="R7" s="4"/>
      <c r="S7" s="4"/>
      <c r="T7" s="4"/>
    </row>
    <row r="8" spans="1:20" x14ac:dyDescent="0.3">
      <c r="A8" s="4"/>
      <c r="B8" s="4"/>
      <c r="C8" s="4"/>
      <c r="D8" s="4"/>
      <c r="E8" s="4"/>
      <c r="F8" s="4"/>
      <c r="G8" s="4"/>
      <c r="H8" s="4"/>
      <c r="I8" s="4"/>
      <c r="J8" s="4"/>
      <c r="K8" s="4"/>
      <c r="L8" s="4"/>
      <c r="M8" s="4"/>
      <c r="N8" s="4"/>
      <c r="O8" s="4"/>
      <c r="P8" s="5" t="str">
        <f t="shared" si="0"/>
        <v/>
      </c>
      <c r="Q8" s="4"/>
      <c r="R8" s="4"/>
      <c r="S8" s="4"/>
      <c r="T8" s="4"/>
    </row>
    <row r="9" spans="1:20" x14ac:dyDescent="0.3">
      <c r="A9" s="4"/>
      <c r="B9" s="4"/>
      <c r="C9" s="4"/>
      <c r="D9" s="4"/>
      <c r="E9" s="4"/>
      <c r="F9" s="4"/>
      <c r="G9" s="4"/>
      <c r="H9" s="4"/>
      <c r="I9" s="4"/>
      <c r="J9" s="4"/>
      <c r="K9" s="4"/>
      <c r="L9" s="4"/>
      <c r="M9" s="4"/>
      <c r="N9" s="4"/>
      <c r="O9" s="4"/>
      <c r="P9" s="5" t="str">
        <f t="shared" si="0"/>
        <v/>
      </c>
      <c r="Q9" s="4"/>
      <c r="R9" s="4"/>
      <c r="S9" s="4"/>
      <c r="T9" s="4"/>
    </row>
    <row r="10" spans="1:20" x14ac:dyDescent="0.3">
      <c r="A10" s="4"/>
      <c r="B10" s="4"/>
      <c r="C10" s="4"/>
      <c r="D10" s="4"/>
      <c r="E10" s="4"/>
      <c r="F10" s="4"/>
      <c r="G10" s="4"/>
      <c r="H10" s="4"/>
      <c r="I10" s="4"/>
      <c r="J10" s="4"/>
      <c r="K10" s="4"/>
      <c r="L10" s="4"/>
      <c r="M10" s="4"/>
      <c r="N10" s="4"/>
      <c r="O10" s="4"/>
      <c r="P10" s="5" t="str">
        <f t="shared" si="0"/>
        <v/>
      </c>
      <c r="Q10" s="4"/>
      <c r="R10" s="4"/>
      <c r="S10" s="4"/>
      <c r="T10" s="4"/>
    </row>
    <row r="11" spans="1:20" x14ac:dyDescent="0.3">
      <c r="A11" s="4"/>
      <c r="B11" s="4"/>
      <c r="C11" s="4"/>
      <c r="D11" s="4"/>
      <c r="E11" s="4"/>
      <c r="F11" s="4"/>
      <c r="G11" s="4"/>
      <c r="H11" s="4"/>
      <c r="I11" s="4"/>
      <c r="J11" s="4"/>
      <c r="K11" s="4"/>
      <c r="L11" s="4"/>
      <c r="M11" s="4"/>
      <c r="N11" s="4"/>
      <c r="O11" s="4"/>
      <c r="P11" s="5" t="str">
        <f t="shared" si="0"/>
        <v/>
      </c>
      <c r="Q11" s="4"/>
      <c r="R11" s="4"/>
      <c r="S11" s="4"/>
      <c r="T11" s="4"/>
    </row>
    <row r="12" spans="1:20" x14ac:dyDescent="0.3">
      <c r="A12" s="4"/>
      <c r="B12" s="4"/>
      <c r="C12" s="4"/>
      <c r="D12" s="4"/>
      <c r="E12" s="4"/>
      <c r="F12" s="4"/>
      <c r="G12" s="4"/>
      <c r="H12" s="4"/>
      <c r="I12" s="4"/>
      <c r="J12" s="4"/>
      <c r="K12" s="4"/>
      <c r="L12" s="4"/>
      <c r="M12" s="4"/>
      <c r="N12" s="4"/>
      <c r="O12" s="4"/>
      <c r="P12" s="5" t="str">
        <f t="shared" si="0"/>
        <v/>
      </c>
      <c r="Q12" s="4"/>
      <c r="R12" s="4"/>
      <c r="S12" s="4"/>
      <c r="T12" s="4"/>
    </row>
    <row r="13" spans="1:20" x14ac:dyDescent="0.3">
      <c r="A13" s="4"/>
      <c r="B13" s="4"/>
      <c r="C13" s="4"/>
      <c r="D13" s="4"/>
      <c r="E13" s="4"/>
      <c r="F13" s="4"/>
      <c r="G13" s="4"/>
      <c r="H13" s="4"/>
      <c r="I13" s="4"/>
      <c r="J13" s="4"/>
      <c r="K13" s="4"/>
      <c r="L13" s="4"/>
      <c r="M13" s="4"/>
      <c r="N13" s="4"/>
      <c r="O13" s="4"/>
      <c r="P13" s="5" t="str">
        <f t="shared" si="0"/>
        <v/>
      </c>
      <c r="Q13" s="4"/>
      <c r="R13" s="4"/>
      <c r="S13" s="4"/>
      <c r="T13" s="4"/>
    </row>
    <row r="14" spans="1:20" x14ac:dyDescent="0.3">
      <c r="A14" s="4"/>
      <c r="B14" s="4"/>
      <c r="C14" s="4"/>
      <c r="D14" s="4"/>
      <c r="E14" s="4"/>
      <c r="F14" s="4"/>
      <c r="G14" s="4"/>
      <c r="H14" s="4"/>
      <c r="I14" s="4"/>
      <c r="J14" s="4"/>
      <c r="K14" s="4"/>
      <c r="L14" s="4"/>
      <c r="M14" s="4"/>
      <c r="N14" s="4"/>
      <c r="O14" s="4"/>
      <c r="P14" s="5" t="str">
        <f t="shared" si="0"/>
        <v/>
      </c>
      <c r="Q14" s="4"/>
      <c r="R14" s="4"/>
      <c r="S14" s="4"/>
      <c r="T14" s="4"/>
    </row>
    <row r="15" spans="1:20" x14ac:dyDescent="0.3">
      <c r="A15" s="4"/>
      <c r="B15" s="4"/>
      <c r="C15" s="4"/>
      <c r="D15" s="4"/>
      <c r="E15" s="4"/>
      <c r="F15" s="4"/>
      <c r="G15" s="4"/>
      <c r="H15" s="4"/>
      <c r="I15" s="4"/>
      <c r="J15" s="4"/>
      <c r="K15" s="4"/>
      <c r="L15" s="4"/>
      <c r="M15" s="4"/>
      <c r="N15" s="4"/>
      <c r="O15" s="4"/>
      <c r="P15" s="5" t="str">
        <f t="shared" si="0"/>
        <v/>
      </c>
      <c r="Q15" s="4"/>
      <c r="R15" s="4"/>
      <c r="S15" s="4"/>
      <c r="T15" s="4"/>
    </row>
    <row r="16" spans="1:20" x14ac:dyDescent="0.3">
      <c r="A16" s="4"/>
      <c r="B16" s="4"/>
      <c r="C16" s="4"/>
      <c r="D16" s="4"/>
      <c r="E16" s="4"/>
      <c r="F16" s="4"/>
      <c r="G16" s="4"/>
      <c r="H16" s="4"/>
      <c r="I16" s="4"/>
      <c r="J16" s="4"/>
      <c r="K16" s="4"/>
      <c r="L16" s="4"/>
      <c r="M16" s="4"/>
      <c r="N16" s="4"/>
      <c r="O16" s="4"/>
      <c r="P16" s="5" t="str">
        <f t="shared" si="0"/>
        <v/>
      </c>
      <c r="Q16" s="4"/>
      <c r="R16" s="4"/>
      <c r="S16" s="4"/>
      <c r="T16" s="4"/>
    </row>
    <row r="17" spans="1:20" x14ac:dyDescent="0.3">
      <c r="A17" s="4"/>
      <c r="B17" s="4"/>
      <c r="C17" s="4"/>
      <c r="D17" s="4"/>
      <c r="E17" s="4"/>
      <c r="F17" s="4"/>
      <c r="G17" s="4"/>
      <c r="H17" s="4"/>
      <c r="I17" s="4"/>
      <c r="J17" s="4"/>
      <c r="K17" s="4"/>
      <c r="L17" s="4"/>
      <c r="M17" s="4"/>
      <c r="N17" s="4"/>
      <c r="O17" s="4"/>
      <c r="P17" s="5" t="str">
        <f t="shared" si="0"/>
        <v/>
      </c>
      <c r="Q17" s="4"/>
      <c r="R17" s="4"/>
      <c r="S17" s="4"/>
      <c r="T17" s="4"/>
    </row>
    <row r="18" spans="1:20" x14ac:dyDescent="0.3">
      <c r="A18" s="4"/>
      <c r="B18" s="4"/>
      <c r="C18" s="4"/>
      <c r="D18" s="4"/>
      <c r="E18" s="4"/>
      <c r="F18" s="4"/>
      <c r="G18" s="4"/>
      <c r="H18" s="4"/>
      <c r="I18" s="4"/>
      <c r="J18" s="4"/>
      <c r="K18" s="4"/>
      <c r="L18" s="4"/>
      <c r="M18" s="4"/>
      <c r="N18" s="4"/>
      <c r="O18" s="4"/>
      <c r="P18" s="5" t="str">
        <f t="shared" si="0"/>
        <v/>
      </c>
      <c r="Q18" s="4"/>
      <c r="R18" s="4"/>
      <c r="S18" s="4"/>
      <c r="T18" s="4"/>
    </row>
    <row r="19" spans="1:20" x14ac:dyDescent="0.3">
      <c r="A19" s="4"/>
      <c r="B19" s="4"/>
      <c r="C19" s="4"/>
      <c r="D19" s="4"/>
      <c r="E19" s="4"/>
      <c r="F19" s="4"/>
      <c r="G19" s="4"/>
      <c r="H19" s="4"/>
      <c r="I19" s="4"/>
      <c r="J19" s="4"/>
      <c r="K19" s="4"/>
      <c r="L19" s="4"/>
      <c r="M19" s="4"/>
      <c r="N19" s="4"/>
      <c r="O19" s="4"/>
      <c r="P19" s="5" t="str">
        <f t="shared" si="0"/>
        <v/>
      </c>
      <c r="Q19" s="4"/>
      <c r="R19" s="4"/>
      <c r="S19" s="4"/>
      <c r="T19" s="4"/>
    </row>
    <row r="20" spans="1:20" x14ac:dyDescent="0.3">
      <c r="A20" s="4"/>
      <c r="B20" s="4"/>
      <c r="C20" s="4"/>
      <c r="D20" s="4"/>
      <c r="E20" s="4"/>
      <c r="F20" s="4"/>
      <c r="G20" s="4"/>
      <c r="H20" s="4"/>
      <c r="I20" s="4"/>
      <c r="J20" s="4"/>
      <c r="K20" s="4"/>
      <c r="L20" s="4"/>
      <c r="M20" s="4"/>
      <c r="N20" s="4"/>
      <c r="O20" s="4"/>
      <c r="P20" s="5" t="str">
        <f t="shared" si="0"/>
        <v/>
      </c>
      <c r="Q20" s="4"/>
      <c r="R20" s="4"/>
      <c r="S20" s="4"/>
      <c r="T20" s="4"/>
    </row>
    <row r="21" spans="1:20" x14ac:dyDescent="0.3">
      <c r="A21" s="4"/>
      <c r="B21" s="4"/>
      <c r="C21" s="4"/>
      <c r="D21" s="4"/>
      <c r="E21" s="4"/>
      <c r="F21" s="4"/>
      <c r="G21" s="4"/>
      <c r="H21" s="4"/>
      <c r="I21" s="4"/>
      <c r="J21" s="4"/>
      <c r="K21" s="4"/>
      <c r="L21" s="4"/>
      <c r="M21" s="4"/>
      <c r="N21" s="4"/>
      <c r="O21" s="4"/>
      <c r="P21" s="5" t="str">
        <f t="shared" si="0"/>
        <v/>
      </c>
      <c r="Q21" s="4"/>
      <c r="R21" s="4"/>
      <c r="S21" s="4"/>
      <c r="T21" s="4"/>
    </row>
    <row r="22" spans="1:20" x14ac:dyDescent="0.3">
      <c r="A22" s="4"/>
      <c r="B22" s="4"/>
      <c r="C22" s="4"/>
      <c r="D22" s="4"/>
      <c r="E22" s="4"/>
      <c r="F22" s="4"/>
      <c r="G22" s="4"/>
      <c r="H22" s="4"/>
      <c r="I22" s="4"/>
      <c r="J22" s="4"/>
      <c r="K22" s="4"/>
      <c r="L22" s="4"/>
      <c r="M22" s="4"/>
      <c r="N22" s="4"/>
      <c r="O22" s="4"/>
      <c r="P22" s="5" t="str">
        <f t="shared" si="0"/>
        <v/>
      </c>
      <c r="Q22" s="4"/>
      <c r="R22" s="4"/>
      <c r="S22" s="4"/>
      <c r="T22" s="4"/>
    </row>
    <row r="23" spans="1:20" x14ac:dyDescent="0.3">
      <c r="A23" s="4"/>
      <c r="B23" s="4"/>
      <c r="C23" s="4"/>
      <c r="D23" s="4"/>
      <c r="E23" s="4"/>
      <c r="F23" s="4"/>
      <c r="G23" s="4"/>
      <c r="H23" s="4"/>
      <c r="I23" s="4"/>
      <c r="J23" s="4"/>
      <c r="K23" s="4"/>
      <c r="L23" s="4"/>
      <c r="M23" s="4"/>
      <c r="N23" s="4"/>
      <c r="O23" s="4"/>
      <c r="P23" s="5" t="str">
        <f t="shared" si="0"/>
        <v/>
      </c>
      <c r="Q23" s="4"/>
      <c r="R23" s="4"/>
      <c r="S23" s="4"/>
      <c r="T23" s="4"/>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3"/>
  <sheetViews>
    <sheetView zoomScale="70" zoomScaleNormal="70" workbookViewId="0">
      <pane ySplit="3" topLeftCell="A4" activePane="bottomLeft" state="frozen"/>
      <selection pane="bottomLeft" activeCell="A4" sqref="A4"/>
    </sheetView>
  </sheetViews>
  <sheetFormatPr defaultColWidth="8.6640625" defaultRowHeight="14.4" x14ac:dyDescent="0.3"/>
  <cols>
    <col min="1" max="1" width="10" customWidth="1"/>
    <col min="2" max="2" width="22" customWidth="1"/>
    <col min="3" max="3" width="14" customWidth="1"/>
    <col min="4" max="4" width="15.44140625" customWidth="1"/>
    <col min="5" max="5" width="22" customWidth="1"/>
    <col min="6" max="6" width="10" customWidth="1"/>
    <col min="7" max="7" width="12" customWidth="1"/>
    <col min="8" max="8" width="10" customWidth="1"/>
    <col min="9" max="9" width="16" customWidth="1"/>
    <col min="10" max="10" width="25" customWidth="1"/>
    <col min="11" max="11" width="30" customWidth="1"/>
    <col min="12" max="12" width="25" customWidth="1"/>
    <col min="13" max="14" width="16" customWidth="1"/>
    <col min="15" max="15" width="14" customWidth="1"/>
    <col min="16" max="16" width="12" customWidth="1"/>
  </cols>
  <sheetData>
    <row r="1" spans="1:16" ht="16.8" x14ac:dyDescent="0.3">
      <c r="A1" s="6" t="s">
        <v>22</v>
      </c>
      <c r="B1" s="6"/>
      <c r="C1" s="6"/>
      <c r="D1" s="6"/>
      <c r="E1" s="6"/>
      <c r="F1" s="6"/>
      <c r="G1" s="6"/>
      <c r="H1" s="6"/>
      <c r="I1" s="6"/>
      <c r="J1" s="6"/>
      <c r="K1" s="6"/>
      <c r="L1" s="6"/>
      <c r="M1" s="6"/>
      <c r="N1" s="6"/>
      <c r="O1" s="6"/>
      <c r="P1" s="6"/>
    </row>
    <row r="2" spans="1:16" ht="15" customHeight="1" x14ac:dyDescent="0.3">
      <c r="A2" s="11" t="s">
        <v>23</v>
      </c>
      <c r="B2" s="2"/>
      <c r="C2" s="2"/>
      <c r="D2" s="2"/>
      <c r="E2" s="2"/>
      <c r="F2" s="2"/>
      <c r="G2" s="2"/>
      <c r="H2" s="2"/>
      <c r="I2" s="2"/>
      <c r="J2" s="2"/>
      <c r="K2" s="2"/>
      <c r="L2" s="2"/>
      <c r="M2" s="2"/>
      <c r="N2" s="2"/>
      <c r="O2" s="2"/>
      <c r="P2" s="2"/>
    </row>
    <row r="3" spans="1:16" ht="41.4" x14ac:dyDescent="0.3">
      <c r="A3" s="3" t="s">
        <v>2</v>
      </c>
      <c r="B3" s="3" t="s">
        <v>24</v>
      </c>
      <c r="C3" s="3" t="s">
        <v>25</v>
      </c>
      <c r="D3" s="3" t="s">
        <v>26</v>
      </c>
      <c r="E3" s="3" t="s">
        <v>27</v>
      </c>
      <c r="F3" s="3" t="s">
        <v>28</v>
      </c>
      <c r="G3" s="3" t="s">
        <v>29</v>
      </c>
      <c r="H3" s="3" t="s">
        <v>30</v>
      </c>
      <c r="I3" s="3" t="s">
        <v>31</v>
      </c>
      <c r="J3" s="3" t="s">
        <v>32</v>
      </c>
      <c r="K3" s="3" t="s">
        <v>33</v>
      </c>
      <c r="L3" s="3" t="s">
        <v>34</v>
      </c>
      <c r="M3" s="3" t="s">
        <v>35</v>
      </c>
      <c r="N3" s="3" t="s">
        <v>36</v>
      </c>
      <c r="O3" s="3" t="s">
        <v>37</v>
      </c>
      <c r="P3" s="3" t="s">
        <v>38</v>
      </c>
    </row>
    <row r="4" spans="1:16" s="13" customFormat="1" ht="39.6" x14ac:dyDescent="0.3">
      <c r="A4" s="4">
        <v>1</v>
      </c>
      <c r="B4" s="4" t="s">
        <v>118</v>
      </c>
      <c r="C4" s="4" t="s">
        <v>147</v>
      </c>
      <c r="D4" s="4" t="s">
        <v>119</v>
      </c>
      <c r="E4" s="4"/>
      <c r="F4" s="4">
        <v>5</v>
      </c>
      <c r="G4" s="4">
        <v>101</v>
      </c>
      <c r="H4" s="4"/>
      <c r="I4" s="4"/>
      <c r="J4" s="4"/>
      <c r="K4" s="4" t="s">
        <v>123</v>
      </c>
      <c r="L4" s="4" t="s">
        <v>127</v>
      </c>
      <c r="M4" s="4"/>
      <c r="N4" s="4" t="s">
        <v>125</v>
      </c>
      <c r="O4" s="4" t="s">
        <v>171</v>
      </c>
      <c r="P4" s="4" t="s">
        <v>126</v>
      </c>
    </row>
    <row r="5" spans="1:16" s="13" customFormat="1" ht="39.6" x14ac:dyDescent="0.3">
      <c r="A5" s="4">
        <v>1</v>
      </c>
      <c r="B5" s="4" t="s">
        <v>121</v>
      </c>
      <c r="C5" s="4" t="s">
        <v>147</v>
      </c>
      <c r="D5" s="4" t="s">
        <v>120</v>
      </c>
      <c r="E5" s="4"/>
      <c r="F5" s="4">
        <v>5</v>
      </c>
      <c r="G5" s="4">
        <v>191</v>
      </c>
      <c r="H5" s="4"/>
      <c r="I5" s="4"/>
      <c r="J5" s="4"/>
      <c r="K5" s="4" t="s">
        <v>122</v>
      </c>
      <c r="L5" s="4" t="s">
        <v>124</v>
      </c>
      <c r="M5" s="4"/>
      <c r="N5" s="4" t="s">
        <v>125</v>
      </c>
      <c r="O5" s="4" t="s">
        <v>171</v>
      </c>
      <c r="P5" s="4" t="s">
        <v>126</v>
      </c>
    </row>
    <row r="6" spans="1:16" s="13" customFormat="1" ht="79.2" x14ac:dyDescent="0.3">
      <c r="A6" s="4">
        <v>1</v>
      </c>
      <c r="B6" s="4" t="s">
        <v>132</v>
      </c>
      <c r="C6" s="4" t="s">
        <v>147</v>
      </c>
      <c r="D6" s="4" t="s">
        <v>133</v>
      </c>
      <c r="E6" s="4"/>
      <c r="F6" s="4">
        <v>5</v>
      </c>
      <c r="G6" s="4">
        <v>83</v>
      </c>
      <c r="H6" s="4"/>
      <c r="I6" s="4"/>
      <c r="J6" s="4"/>
      <c r="K6" s="4" t="s">
        <v>134</v>
      </c>
      <c r="L6" s="4" t="s">
        <v>172</v>
      </c>
      <c r="M6" s="4"/>
      <c r="N6" s="4" t="s">
        <v>125</v>
      </c>
      <c r="O6" s="4" t="s">
        <v>171</v>
      </c>
      <c r="P6" s="4" t="s">
        <v>126</v>
      </c>
    </row>
    <row r="7" spans="1:16" s="13" customFormat="1" x14ac:dyDescent="0.3">
      <c r="A7" s="4">
        <v>1</v>
      </c>
      <c r="B7" s="4" t="s">
        <v>141</v>
      </c>
      <c r="C7" s="4" t="s">
        <v>147</v>
      </c>
      <c r="D7" s="4" t="s">
        <v>151</v>
      </c>
      <c r="E7" s="4"/>
      <c r="F7" s="4"/>
      <c r="G7" s="4"/>
      <c r="H7" s="4"/>
      <c r="I7" s="4"/>
      <c r="J7" s="4"/>
      <c r="K7" s="4" t="s">
        <v>152</v>
      </c>
      <c r="L7" s="4"/>
      <c r="M7" s="4"/>
      <c r="N7" s="4"/>
      <c r="O7" s="4"/>
      <c r="P7" s="4"/>
    </row>
    <row r="8" spans="1:16" s="13" customFormat="1" x14ac:dyDescent="0.3">
      <c r="A8" s="4">
        <v>1</v>
      </c>
      <c r="B8" s="4" t="s">
        <v>142</v>
      </c>
      <c r="C8" s="4" t="s">
        <v>147</v>
      </c>
      <c r="D8" s="4" t="s">
        <v>150</v>
      </c>
      <c r="E8" s="4"/>
      <c r="F8" s="4"/>
      <c r="G8" s="4"/>
      <c r="H8" s="4"/>
      <c r="I8" s="4"/>
      <c r="J8" s="4"/>
      <c r="K8" s="4" t="s">
        <v>152</v>
      </c>
      <c r="L8" s="4"/>
      <c r="M8" s="4"/>
      <c r="N8" s="4"/>
      <c r="O8" s="4"/>
      <c r="P8" s="4"/>
    </row>
    <row r="9" spans="1:16" s="13" customFormat="1" x14ac:dyDescent="0.3">
      <c r="A9" s="4">
        <v>1</v>
      </c>
      <c r="B9" s="4" t="s">
        <v>144</v>
      </c>
      <c r="C9" s="4" t="s">
        <v>147</v>
      </c>
      <c r="D9" s="4" t="s">
        <v>148</v>
      </c>
      <c r="E9" s="4"/>
      <c r="F9" s="4"/>
      <c r="G9" s="4"/>
      <c r="H9" s="4"/>
      <c r="I9" s="4"/>
      <c r="J9" s="4"/>
      <c r="K9" s="4" t="s">
        <v>152</v>
      </c>
      <c r="L9" s="4"/>
      <c r="M9" s="4"/>
      <c r="N9" s="4"/>
      <c r="O9" s="4"/>
      <c r="P9" s="4"/>
    </row>
    <row r="10" spans="1:16" s="13" customFormat="1" x14ac:dyDescent="0.3">
      <c r="A10" s="4">
        <v>1</v>
      </c>
      <c r="B10" s="4" t="s">
        <v>145</v>
      </c>
      <c r="C10" s="4" t="s">
        <v>147</v>
      </c>
      <c r="D10" s="4" t="s">
        <v>155</v>
      </c>
      <c r="E10" s="4"/>
      <c r="F10" s="4"/>
      <c r="G10" s="4"/>
      <c r="H10" s="4"/>
      <c r="I10" s="4"/>
      <c r="J10" s="4"/>
      <c r="K10" s="4" t="s">
        <v>152</v>
      </c>
      <c r="L10" s="4"/>
      <c r="M10" s="4"/>
      <c r="N10" s="4"/>
      <c r="O10" s="4"/>
      <c r="P10" s="4"/>
    </row>
    <row r="11" spans="1:16" s="13" customFormat="1" x14ac:dyDescent="0.3">
      <c r="A11" s="4">
        <v>1</v>
      </c>
      <c r="B11" s="4" t="s">
        <v>146</v>
      </c>
      <c r="C11" s="4" t="s">
        <v>147</v>
      </c>
      <c r="D11" s="4" t="s">
        <v>149</v>
      </c>
      <c r="E11" s="4"/>
      <c r="F11" s="4"/>
      <c r="G11" s="4"/>
      <c r="H11" s="4"/>
      <c r="I11" s="4"/>
      <c r="J11" s="4"/>
      <c r="K11" s="4" t="s">
        <v>152</v>
      </c>
      <c r="L11" s="4"/>
      <c r="M11" s="4"/>
      <c r="N11" s="4"/>
      <c r="O11" s="4"/>
      <c r="P11" s="4"/>
    </row>
    <row r="12" spans="1:16" s="13" customFormat="1" x14ac:dyDescent="0.3">
      <c r="A12" s="4">
        <v>1</v>
      </c>
      <c r="B12" s="4" t="s">
        <v>143</v>
      </c>
      <c r="C12" s="4" t="s">
        <v>154</v>
      </c>
      <c r="D12" s="4" t="s">
        <v>158</v>
      </c>
      <c r="E12" s="4"/>
      <c r="F12" s="4"/>
      <c r="G12" s="4"/>
      <c r="H12" s="4"/>
      <c r="I12" s="4"/>
      <c r="J12" s="4"/>
      <c r="K12" s="4" t="s">
        <v>152</v>
      </c>
      <c r="L12" s="4"/>
      <c r="M12" s="4"/>
      <c r="N12" s="4"/>
      <c r="O12" s="4"/>
      <c r="P12" s="4"/>
    </row>
    <row r="13" spans="1:16" s="13" customFormat="1" x14ac:dyDescent="0.3">
      <c r="A13" s="4">
        <v>1</v>
      </c>
      <c r="B13" s="4" t="s">
        <v>156</v>
      </c>
      <c r="C13" s="4" t="s">
        <v>147</v>
      </c>
      <c r="D13" s="4" t="s">
        <v>157</v>
      </c>
      <c r="E13" s="4"/>
      <c r="F13" s="4"/>
      <c r="G13" s="4"/>
      <c r="H13" s="4"/>
      <c r="I13" s="4"/>
      <c r="J13" s="4"/>
      <c r="K13" s="4" t="s">
        <v>152</v>
      </c>
      <c r="L13" s="4"/>
      <c r="M13" s="4"/>
      <c r="N13" s="4"/>
      <c r="O13" s="4"/>
      <c r="P13" s="4"/>
    </row>
    <row r="14" spans="1:16" s="13" customFormat="1" x14ac:dyDescent="0.3">
      <c r="A14" s="4"/>
      <c r="B14" s="4"/>
      <c r="C14" s="4"/>
      <c r="D14" s="4"/>
      <c r="E14" s="4"/>
      <c r="F14" s="4"/>
      <c r="G14" s="4"/>
      <c r="H14" s="4"/>
      <c r="I14" s="4"/>
      <c r="J14" s="4"/>
      <c r="K14" s="4"/>
      <c r="L14" s="4"/>
      <c r="M14" s="4"/>
      <c r="N14" s="4"/>
      <c r="O14" s="4"/>
      <c r="P14" s="4"/>
    </row>
    <row r="15" spans="1:16" s="13" customFormat="1" x14ac:dyDescent="0.3">
      <c r="A15" s="4"/>
      <c r="B15" s="4"/>
      <c r="C15" s="4"/>
      <c r="D15" s="4"/>
      <c r="E15" s="4"/>
      <c r="F15" s="4"/>
      <c r="G15" s="4"/>
      <c r="H15" s="4"/>
      <c r="I15" s="4"/>
      <c r="J15" s="4"/>
      <c r="K15" s="4"/>
      <c r="L15" s="4"/>
      <c r="M15" s="4"/>
      <c r="N15" s="4"/>
      <c r="O15" s="4"/>
      <c r="P15" s="4"/>
    </row>
    <row r="16" spans="1:16" s="13" customFormat="1" x14ac:dyDescent="0.3">
      <c r="A16" s="4"/>
      <c r="B16" s="4"/>
      <c r="C16" s="4"/>
      <c r="D16" s="4"/>
      <c r="E16" s="4"/>
      <c r="F16" s="4"/>
      <c r="G16" s="4"/>
      <c r="H16" s="4"/>
      <c r="I16" s="4"/>
      <c r="J16" s="4"/>
      <c r="K16" s="4"/>
      <c r="L16" s="4"/>
      <c r="M16" s="4"/>
      <c r="N16" s="4"/>
      <c r="O16" s="4"/>
      <c r="P16" s="4"/>
    </row>
    <row r="17" spans="1:16" s="13" customFormat="1" x14ac:dyDescent="0.3">
      <c r="A17" s="4"/>
      <c r="B17" s="4"/>
      <c r="C17" s="4"/>
      <c r="D17" s="4"/>
      <c r="E17" s="4"/>
      <c r="F17" s="4"/>
      <c r="G17" s="4"/>
      <c r="H17" s="4"/>
      <c r="I17" s="4"/>
      <c r="J17" s="4"/>
      <c r="K17" s="4"/>
      <c r="L17" s="4"/>
      <c r="M17" s="4"/>
      <c r="N17" s="4"/>
      <c r="O17" s="4"/>
      <c r="P17" s="4"/>
    </row>
    <row r="18" spans="1:16" s="13" customFormat="1" x14ac:dyDescent="0.3">
      <c r="A18" s="4"/>
      <c r="B18" s="4"/>
      <c r="C18" s="4"/>
      <c r="D18" s="4"/>
      <c r="E18" s="4"/>
      <c r="F18" s="4"/>
      <c r="G18" s="4"/>
      <c r="H18" s="4"/>
      <c r="I18" s="4"/>
      <c r="J18" s="4"/>
      <c r="K18" s="4"/>
      <c r="L18" s="4"/>
      <c r="M18" s="4"/>
      <c r="N18" s="4"/>
      <c r="O18" s="4"/>
      <c r="P18" s="4"/>
    </row>
    <row r="19" spans="1:16" s="13" customFormat="1" x14ac:dyDescent="0.3">
      <c r="A19" s="4"/>
      <c r="B19" s="4"/>
      <c r="C19" s="4"/>
      <c r="D19" s="4"/>
      <c r="E19" s="4"/>
      <c r="F19" s="4"/>
      <c r="G19" s="4"/>
      <c r="H19" s="4"/>
      <c r="I19" s="4"/>
      <c r="J19" s="4"/>
      <c r="K19" s="4"/>
      <c r="L19" s="4"/>
      <c r="M19" s="4"/>
      <c r="N19" s="4"/>
      <c r="O19" s="4"/>
      <c r="P19" s="4"/>
    </row>
    <row r="20" spans="1:16" s="13" customFormat="1" x14ac:dyDescent="0.3">
      <c r="A20" s="4"/>
      <c r="B20" s="4"/>
      <c r="C20" s="4"/>
      <c r="D20" s="4"/>
      <c r="E20" s="4"/>
      <c r="F20" s="4"/>
      <c r="G20" s="4"/>
      <c r="H20" s="4"/>
      <c r="I20" s="4"/>
      <c r="J20" s="4"/>
      <c r="K20" s="4"/>
      <c r="L20" s="4"/>
      <c r="M20" s="4"/>
      <c r="N20" s="4"/>
      <c r="O20" s="4"/>
      <c r="P20" s="4"/>
    </row>
    <row r="21" spans="1:16" s="13" customFormat="1" x14ac:dyDescent="0.3">
      <c r="A21" s="4"/>
      <c r="B21" s="4"/>
      <c r="C21" s="4"/>
      <c r="D21" s="4"/>
      <c r="E21" s="4"/>
      <c r="F21" s="4"/>
      <c r="G21" s="4"/>
      <c r="H21" s="4"/>
      <c r="I21" s="4"/>
      <c r="J21" s="4"/>
      <c r="K21" s="4"/>
      <c r="L21" s="4"/>
      <c r="M21" s="4"/>
      <c r="N21" s="4"/>
      <c r="O21" s="4"/>
      <c r="P21" s="4"/>
    </row>
    <row r="22" spans="1:16" s="13" customFormat="1" x14ac:dyDescent="0.3">
      <c r="A22" s="4"/>
      <c r="B22" s="4"/>
      <c r="C22" s="4"/>
      <c r="D22" s="4"/>
      <c r="E22" s="4"/>
      <c r="F22" s="4"/>
      <c r="G22" s="4"/>
      <c r="H22" s="4"/>
      <c r="I22" s="4"/>
      <c r="J22" s="4"/>
      <c r="K22" s="4"/>
      <c r="L22" s="4"/>
      <c r="M22" s="4"/>
      <c r="N22" s="4"/>
      <c r="O22" s="4"/>
      <c r="P22" s="4"/>
    </row>
    <row r="23" spans="1:16" s="13" customFormat="1" x14ac:dyDescent="0.3">
      <c r="A23" s="4"/>
      <c r="B23" s="4"/>
      <c r="C23" s="4"/>
      <c r="D23" s="4"/>
      <c r="E23" s="4"/>
      <c r="F23" s="4"/>
      <c r="G23" s="4"/>
      <c r="H23" s="4"/>
      <c r="I23" s="4"/>
      <c r="J23" s="4"/>
      <c r="K23" s="4"/>
      <c r="L23" s="4"/>
      <c r="M23" s="4"/>
      <c r="N23" s="4"/>
      <c r="O23" s="4"/>
      <c r="P23" s="4"/>
    </row>
    <row r="24" spans="1:16" s="13" customFormat="1" x14ac:dyDescent="0.3">
      <c r="A24" s="4"/>
      <c r="B24" s="4"/>
      <c r="C24" s="4"/>
      <c r="D24" s="4"/>
      <c r="E24" s="4"/>
      <c r="F24" s="4"/>
      <c r="G24" s="4"/>
      <c r="H24" s="4"/>
      <c r="I24" s="4"/>
      <c r="J24" s="4"/>
      <c r="K24" s="4"/>
      <c r="L24" s="4"/>
      <c r="M24" s="4"/>
      <c r="N24" s="4"/>
      <c r="O24" s="4"/>
      <c r="P24" s="4"/>
    </row>
    <row r="25" spans="1:16" s="13" customFormat="1" x14ac:dyDescent="0.3">
      <c r="A25" s="4"/>
      <c r="B25" s="4"/>
      <c r="C25" s="4"/>
      <c r="D25" s="4"/>
      <c r="E25" s="4"/>
      <c r="F25" s="4"/>
      <c r="G25" s="4"/>
      <c r="H25" s="4"/>
      <c r="I25" s="4"/>
      <c r="J25" s="4"/>
      <c r="K25" s="4"/>
      <c r="L25" s="4"/>
      <c r="M25" s="4"/>
      <c r="N25" s="4"/>
      <c r="O25" s="4"/>
      <c r="P25" s="4"/>
    </row>
    <row r="26" spans="1:16" x14ac:dyDescent="0.3">
      <c r="A26" s="4"/>
      <c r="B26" s="4"/>
      <c r="C26" s="4"/>
      <c r="D26" s="4"/>
      <c r="E26" s="4"/>
      <c r="F26" s="4"/>
      <c r="G26" s="4"/>
      <c r="H26" s="4"/>
      <c r="I26" s="4"/>
      <c r="J26" s="4"/>
      <c r="K26" s="4"/>
      <c r="L26" s="4"/>
      <c r="M26" s="4"/>
      <c r="N26" s="4"/>
      <c r="O26" s="4"/>
      <c r="P26" s="4"/>
    </row>
    <row r="27" spans="1:16" x14ac:dyDescent="0.3">
      <c r="A27" s="4"/>
      <c r="B27" s="4"/>
      <c r="C27" s="4"/>
      <c r="D27" s="4"/>
      <c r="E27" s="4"/>
      <c r="F27" s="4"/>
      <c r="G27" s="4"/>
      <c r="H27" s="4"/>
      <c r="I27" s="4"/>
      <c r="J27" s="4"/>
      <c r="K27" s="4"/>
      <c r="L27" s="4"/>
      <c r="M27" s="4"/>
      <c r="N27" s="4"/>
      <c r="O27" s="4"/>
      <c r="P27" s="4"/>
    </row>
    <row r="28" spans="1:16" x14ac:dyDescent="0.3">
      <c r="A28" s="4"/>
      <c r="B28" s="4"/>
      <c r="C28" s="4"/>
      <c r="D28" s="4"/>
      <c r="E28" s="4"/>
      <c r="F28" s="4"/>
      <c r="G28" s="4"/>
      <c r="H28" s="4"/>
      <c r="I28" s="4"/>
      <c r="J28" s="4"/>
      <c r="K28" s="4"/>
      <c r="L28" s="4"/>
      <c r="M28" s="4"/>
      <c r="N28" s="4"/>
      <c r="O28" s="4"/>
      <c r="P28" s="4"/>
    </row>
    <row r="29" spans="1:16" x14ac:dyDescent="0.3">
      <c r="A29" s="4"/>
      <c r="B29" s="4"/>
      <c r="C29" s="4"/>
      <c r="D29" s="4"/>
      <c r="E29" s="4"/>
      <c r="F29" s="4"/>
      <c r="G29" s="4"/>
      <c r="H29" s="4"/>
      <c r="I29" s="4"/>
      <c r="J29" s="4"/>
      <c r="K29" s="4"/>
      <c r="L29" s="4"/>
      <c r="M29" s="4"/>
      <c r="N29" s="4"/>
      <c r="O29" s="4"/>
      <c r="P29" s="4"/>
    </row>
    <row r="30" spans="1:16" x14ac:dyDescent="0.3">
      <c r="A30" s="4"/>
      <c r="B30" s="4"/>
      <c r="C30" s="4"/>
      <c r="D30" s="4"/>
      <c r="E30" s="4"/>
      <c r="F30" s="4"/>
      <c r="G30" s="4"/>
      <c r="H30" s="4"/>
      <c r="I30" s="4"/>
      <c r="J30" s="4"/>
      <c r="K30" s="4"/>
      <c r="L30" s="4"/>
      <c r="M30" s="4"/>
      <c r="N30" s="4"/>
      <c r="O30" s="4"/>
      <c r="P30" s="4"/>
    </row>
    <row r="31" spans="1:16" x14ac:dyDescent="0.3">
      <c r="A31" s="4"/>
      <c r="B31" s="4"/>
      <c r="C31" s="4"/>
      <c r="D31" s="4"/>
      <c r="E31" s="4"/>
      <c r="F31" s="4"/>
      <c r="G31" s="4"/>
      <c r="H31" s="4"/>
      <c r="I31" s="4"/>
      <c r="J31" s="4"/>
      <c r="K31" s="4"/>
      <c r="L31" s="4"/>
      <c r="M31" s="4"/>
      <c r="N31" s="4"/>
      <c r="O31" s="4"/>
      <c r="P31" s="4"/>
    </row>
    <row r="32" spans="1:16" x14ac:dyDescent="0.3">
      <c r="A32" s="4"/>
      <c r="B32" s="4"/>
      <c r="C32" s="4"/>
      <c r="D32" s="4"/>
      <c r="E32" s="4"/>
      <c r="F32" s="4"/>
      <c r="G32" s="4"/>
      <c r="H32" s="4"/>
      <c r="I32" s="4"/>
      <c r="J32" s="4"/>
      <c r="K32" s="4"/>
      <c r="L32" s="4"/>
      <c r="M32" s="4"/>
      <c r="N32" s="4"/>
      <c r="O32" s="4"/>
      <c r="P32" s="4"/>
    </row>
    <row r="33" spans="1:16" x14ac:dyDescent="0.3">
      <c r="A33" s="4"/>
      <c r="B33" s="4"/>
      <c r="C33" s="4"/>
      <c r="D33" s="4"/>
      <c r="E33" s="4"/>
      <c r="F33" s="4"/>
      <c r="G33" s="4"/>
      <c r="H33" s="4"/>
      <c r="I33" s="4"/>
      <c r="J33" s="4"/>
      <c r="K33" s="4"/>
      <c r="L33" s="4"/>
      <c r="M33" s="4"/>
      <c r="N33" s="4"/>
      <c r="O33" s="4"/>
      <c r="P33" s="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2"/>
  <sheetViews>
    <sheetView zoomScale="70" zoomScaleNormal="70" workbookViewId="0">
      <pane ySplit="3" topLeftCell="A6" activePane="bottomLeft" state="frozen"/>
      <selection pane="bottomLeft" activeCell="L6" sqref="L6"/>
    </sheetView>
  </sheetViews>
  <sheetFormatPr defaultColWidth="8.6640625" defaultRowHeight="14.4" x14ac:dyDescent="0.3"/>
  <cols>
    <col min="1" max="1" width="10" customWidth="1"/>
    <col min="2" max="2" width="20" customWidth="1"/>
    <col min="3" max="4" width="10" customWidth="1"/>
    <col min="5" max="6" width="18" customWidth="1"/>
    <col min="7" max="7" width="12" customWidth="1"/>
    <col min="8" max="9" width="30" customWidth="1"/>
    <col min="10" max="11" width="14" customWidth="1"/>
    <col min="12" max="12" width="25" customWidth="1"/>
  </cols>
  <sheetData>
    <row r="1" spans="1:12" ht="16.8" x14ac:dyDescent="0.3">
      <c r="A1" s="6" t="s">
        <v>39</v>
      </c>
      <c r="B1" s="6"/>
      <c r="C1" s="6"/>
      <c r="D1" s="6"/>
      <c r="E1" s="6"/>
      <c r="F1" s="6"/>
      <c r="G1" s="6"/>
      <c r="H1" s="6"/>
      <c r="I1" s="6"/>
      <c r="J1" s="6"/>
      <c r="K1" s="6"/>
      <c r="L1" s="6"/>
    </row>
    <row r="2" spans="1:12" ht="15" customHeight="1" x14ac:dyDescent="0.3">
      <c r="A2" s="11" t="s">
        <v>40</v>
      </c>
      <c r="B2" s="2"/>
      <c r="C2" s="2"/>
      <c r="D2" s="2"/>
      <c r="E2" s="2"/>
      <c r="F2" s="2"/>
      <c r="G2" s="2"/>
      <c r="H2" s="2"/>
      <c r="I2" s="2"/>
      <c r="J2" s="2"/>
      <c r="K2" s="2"/>
      <c r="L2" s="2"/>
    </row>
    <row r="3" spans="1:12" ht="41.4" x14ac:dyDescent="0.3">
      <c r="A3" s="3" t="s">
        <v>2</v>
      </c>
      <c r="B3" s="3" t="s">
        <v>24</v>
      </c>
      <c r="C3" s="3" t="s">
        <v>41</v>
      </c>
      <c r="D3" s="3" t="s">
        <v>42</v>
      </c>
      <c r="E3" s="3" t="s">
        <v>43</v>
      </c>
      <c r="F3" s="3" t="s">
        <v>44</v>
      </c>
      <c r="G3" s="3" t="s">
        <v>45</v>
      </c>
      <c r="H3" s="3" t="s">
        <v>46</v>
      </c>
      <c r="I3" s="3" t="s">
        <v>47</v>
      </c>
      <c r="J3" s="3" t="s">
        <v>48</v>
      </c>
      <c r="K3" s="3" t="s">
        <v>49</v>
      </c>
      <c r="L3" s="3" t="s">
        <v>21</v>
      </c>
    </row>
    <row r="4" spans="1:12" ht="224.4" x14ac:dyDescent="0.3">
      <c r="A4" s="4">
        <v>1</v>
      </c>
      <c r="B4" s="16" t="s">
        <v>118</v>
      </c>
      <c r="C4" s="4" t="s">
        <v>128</v>
      </c>
      <c r="D4" s="4" t="s">
        <v>129</v>
      </c>
      <c r="E4" s="12">
        <v>0.5493055555555556</v>
      </c>
      <c r="F4" s="12">
        <v>0.43333333333333335</v>
      </c>
      <c r="G4" s="5">
        <f t="shared" ref="G4:G32" si="0">IF(AND(F4&lt;&gt;"",E4&lt;&gt;""),(F4-E4)*24,"")</f>
        <v>-2.7833333333333341</v>
      </c>
      <c r="H4" s="4" t="s">
        <v>131</v>
      </c>
      <c r="I4" s="4" t="s">
        <v>168</v>
      </c>
      <c r="J4" s="4" t="s">
        <v>137</v>
      </c>
      <c r="K4" s="4"/>
      <c r="L4" s="4" t="s">
        <v>169</v>
      </c>
    </row>
    <row r="5" spans="1:12" ht="224.4" x14ac:dyDescent="0.3">
      <c r="A5" s="4">
        <v>1</v>
      </c>
      <c r="B5" s="16" t="s">
        <v>121</v>
      </c>
      <c r="C5" s="4" t="s">
        <v>128</v>
      </c>
      <c r="D5" s="4" t="s">
        <v>129</v>
      </c>
      <c r="E5" s="12">
        <v>0.54861111111111116</v>
      </c>
      <c r="F5" s="12">
        <v>0.55694444444444446</v>
      </c>
      <c r="G5" s="5">
        <f t="shared" si="0"/>
        <v>0.19999999999999929</v>
      </c>
      <c r="H5" s="4" t="s">
        <v>131</v>
      </c>
      <c r="I5" s="4" t="s">
        <v>130</v>
      </c>
      <c r="J5" s="4" t="s">
        <v>126</v>
      </c>
      <c r="K5" s="4" t="s">
        <v>126</v>
      </c>
      <c r="L5" s="17" t="s">
        <v>139</v>
      </c>
    </row>
    <row r="6" spans="1:12" ht="237.6" x14ac:dyDescent="0.3">
      <c r="A6" s="4">
        <v>1</v>
      </c>
      <c r="B6" s="4" t="s">
        <v>132</v>
      </c>
      <c r="C6" s="4" t="s">
        <v>128</v>
      </c>
      <c r="D6" s="4" t="s">
        <v>129</v>
      </c>
      <c r="E6" s="12">
        <v>0.60277777777777775</v>
      </c>
      <c r="F6" s="4"/>
      <c r="G6" s="5" t="str">
        <f t="shared" si="0"/>
        <v/>
      </c>
      <c r="H6" s="4" t="s">
        <v>136</v>
      </c>
      <c r="I6" s="4" t="s">
        <v>135</v>
      </c>
      <c r="J6" s="4" t="s">
        <v>137</v>
      </c>
      <c r="K6" s="4"/>
      <c r="L6" s="4" t="s">
        <v>140</v>
      </c>
    </row>
    <row r="7" spans="1:12" ht="237.6" x14ac:dyDescent="0.3">
      <c r="A7" s="4">
        <v>1</v>
      </c>
      <c r="B7" s="4" t="s">
        <v>141</v>
      </c>
      <c r="C7" s="4" t="s">
        <v>128</v>
      </c>
      <c r="D7" s="4" t="s">
        <v>129</v>
      </c>
      <c r="E7" s="12">
        <v>0.52361111111111114</v>
      </c>
      <c r="F7" s="4"/>
      <c r="G7" s="5" t="str">
        <f t="shared" si="0"/>
        <v/>
      </c>
      <c r="H7" s="4" t="s">
        <v>136</v>
      </c>
      <c r="I7" s="4" t="s">
        <v>166</v>
      </c>
      <c r="J7" s="4" t="s">
        <v>137</v>
      </c>
      <c r="K7" s="4"/>
      <c r="L7" s="4"/>
    </row>
    <row r="8" spans="1:12" ht="237.6" x14ac:dyDescent="0.3">
      <c r="A8" s="4">
        <v>1</v>
      </c>
      <c r="B8" s="4" t="s">
        <v>142</v>
      </c>
      <c r="C8" s="4" t="s">
        <v>128</v>
      </c>
      <c r="D8" s="4" t="s">
        <v>129</v>
      </c>
      <c r="E8" s="12">
        <v>0.52708333333333335</v>
      </c>
      <c r="F8" s="12">
        <v>0.62777777777777777</v>
      </c>
      <c r="G8" s="5">
        <f t="shared" si="0"/>
        <v>2.4166666666666661</v>
      </c>
      <c r="H8" s="4" t="s">
        <v>136</v>
      </c>
      <c r="I8" s="4" t="s">
        <v>165</v>
      </c>
      <c r="J8" s="4" t="s">
        <v>137</v>
      </c>
      <c r="K8" s="4"/>
      <c r="L8" s="4"/>
    </row>
    <row r="9" spans="1:12" ht="237.6" x14ac:dyDescent="0.3">
      <c r="A9" s="4">
        <v>1</v>
      </c>
      <c r="B9" s="4" t="s">
        <v>144</v>
      </c>
      <c r="C9" s="4" t="s">
        <v>128</v>
      </c>
      <c r="D9" s="4" t="s">
        <v>129</v>
      </c>
      <c r="E9" s="12">
        <v>0.52777777777777779</v>
      </c>
      <c r="F9" s="12">
        <v>0.56944444444444442</v>
      </c>
      <c r="G9" s="5">
        <f t="shared" si="0"/>
        <v>0.99999999999999911</v>
      </c>
      <c r="H9" s="4" t="s">
        <v>136</v>
      </c>
      <c r="I9" s="19" t="s">
        <v>167</v>
      </c>
      <c r="J9" s="4" t="s">
        <v>126</v>
      </c>
      <c r="K9" s="4"/>
      <c r="L9" s="4"/>
    </row>
    <row r="10" spans="1:12" ht="237.6" x14ac:dyDescent="0.3">
      <c r="A10" s="4">
        <v>1</v>
      </c>
      <c r="B10" s="4" t="s">
        <v>145</v>
      </c>
      <c r="C10" s="4" t="s">
        <v>128</v>
      </c>
      <c r="D10" s="4" t="s">
        <v>129</v>
      </c>
      <c r="E10" s="12">
        <v>0.52847222222222223</v>
      </c>
      <c r="F10" s="12">
        <v>0.59375</v>
      </c>
      <c r="G10" s="5">
        <f>IF(AND(F10&lt;&gt;"",E10&lt;&gt;""),(F10-E10)*24,"")</f>
        <v>1.5666666666666664</v>
      </c>
      <c r="H10" s="4" t="s">
        <v>136</v>
      </c>
      <c r="I10" s="4" t="s">
        <v>153</v>
      </c>
      <c r="J10" s="4" t="s">
        <v>126</v>
      </c>
      <c r="K10" s="4"/>
      <c r="L10" s="4"/>
    </row>
    <row r="11" spans="1:12" ht="237.6" x14ac:dyDescent="0.3">
      <c r="A11" s="4">
        <v>1</v>
      </c>
      <c r="B11" s="4" t="s">
        <v>146</v>
      </c>
      <c r="C11" s="4" t="s">
        <v>128</v>
      </c>
      <c r="D11" s="4" t="s">
        <v>129</v>
      </c>
      <c r="E11" s="12">
        <v>0.52500000000000002</v>
      </c>
      <c r="F11" s="12">
        <v>0.57291666666666663</v>
      </c>
      <c r="G11" s="5">
        <f t="shared" si="0"/>
        <v>1.1499999999999986</v>
      </c>
      <c r="H11" s="4" t="s">
        <v>136</v>
      </c>
      <c r="I11" s="19" t="s">
        <v>173</v>
      </c>
      <c r="J11" s="4" t="s">
        <v>126</v>
      </c>
      <c r="K11" s="4"/>
      <c r="L11" s="4"/>
    </row>
    <row r="12" spans="1:12" ht="237.6" x14ac:dyDescent="0.3">
      <c r="A12" s="4">
        <v>1</v>
      </c>
      <c r="B12" s="4" t="s">
        <v>156</v>
      </c>
      <c r="C12" s="4" t="s">
        <v>128</v>
      </c>
      <c r="D12" s="4" t="s">
        <v>129</v>
      </c>
      <c r="E12" s="12">
        <v>0.63680555555555551</v>
      </c>
      <c r="F12" s="12">
        <v>0.72916666666666663</v>
      </c>
      <c r="G12" s="5">
        <f t="shared" si="0"/>
        <v>2.2166666666666668</v>
      </c>
      <c r="H12" s="4" t="s">
        <v>136</v>
      </c>
      <c r="I12" s="4" t="s">
        <v>164</v>
      </c>
      <c r="J12" s="4" t="s">
        <v>126</v>
      </c>
      <c r="K12" s="4"/>
      <c r="L12" s="4"/>
    </row>
    <row r="13" spans="1:12" ht="237.6" x14ac:dyDescent="0.3">
      <c r="A13" s="4">
        <v>1</v>
      </c>
      <c r="B13" s="4" t="s">
        <v>143</v>
      </c>
      <c r="C13" s="4" t="s">
        <v>159</v>
      </c>
      <c r="D13" s="4" t="s">
        <v>129</v>
      </c>
      <c r="E13" s="12">
        <v>0.58333333333333337</v>
      </c>
      <c r="F13" s="12">
        <v>0.58333333333333337</v>
      </c>
      <c r="G13" s="5">
        <f t="shared" si="0"/>
        <v>0</v>
      </c>
      <c r="H13" s="4" t="s">
        <v>136</v>
      </c>
      <c r="I13" s="4" t="s">
        <v>160</v>
      </c>
      <c r="J13" s="4" t="s">
        <v>126</v>
      </c>
      <c r="K13" s="4"/>
      <c r="L13" s="4"/>
    </row>
    <row r="14" spans="1:12" x14ac:dyDescent="0.3">
      <c r="A14" s="4"/>
      <c r="B14" s="4"/>
      <c r="C14" s="4"/>
      <c r="D14" s="4"/>
      <c r="E14" s="4"/>
      <c r="F14" s="4"/>
      <c r="G14" s="5" t="str">
        <f t="shared" si="0"/>
        <v/>
      </c>
      <c r="H14" s="4"/>
      <c r="I14" s="4"/>
      <c r="J14" s="4"/>
      <c r="K14" s="4"/>
      <c r="L14" s="4"/>
    </row>
    <row r="15" spans="1:12" x14ac:dyDescent="0.3">
      <c r="A15" s="4"/>
      <c r="B15" s="4"/>
      <c r="C15" s="4"/>
      <c r="D15" s="4"/>
      <c r="E15" s="4"/>
      <c r="F15" s="4"/>
      <c r="G15" s="5" t="str">
        <f t="shared" si="0"/>
        <v/>
      </c>
      <c r="H15" s="4"/>
      <c r="I15" s="4"/>
      <c r="J15" s="4"/>
      <c r="K15" s="4"/>
      <c r="L15" s="4"/>
    </row>
    <row r="16" spans="1:12" x14ac:dyDescent="0.3">
      <c r="A16" s="4"/>
      <c r="B16" s="4"/>
      <c r="C16" s="4"/>
      <c r="D16" s="4"/>
      <c r="E16" s="4"/>
      <c r="F16" s="4"/>
      <c r="G16" s="5" t="str">
        <f t="shared" si="0"/>
        <v/>
      </c>
      <c r="H16" s="4"/>
      <c r="I16" s="4"/>
      <c r="J16" s="4"/>
      <c r="K16" s="4"/>
      <c r="L16" s="4"/>
    </row>
    <row r="17" spans="1:12" x14ac:dyDescent="0.3">
      <c r="A17" s="4"/>
      <c r="B17" s="4"/>
      <c r="C17" s="4"/>
      <c r="D17" s="4"/>
      <c r="E17" s="4"/>
      <c r="F17" s="4"/>
      <c r="G17" s="5" t="str">
        <f t="shared" si="0"/>
        <v/>
      </c>
      <c r="H17" s="4"/>
      <c r="I17" s="4"/>
      <c r="J17" s="4"/>
      <c r="K17" s="4"/>
      <c r="L17" s="4"/>
    </row>
    <row r="18" spans="1:12" x14ac:dyDescent="0.3">
      <c r="A18" s="4"/>
      <c r="B18" s="4"/>
      <c r="C18" s="4"/>
      <c r="D18" s="4"/>
      <c r="E18" s="4"/>
      <c r="F18" s="4"/>
      <c r="G18" s="5" t="str">
        <f t="shared" si="0"/>
        <v/>
      </c>
      <c r="H18" s="4"/>
      <c r="I18" s="4"/>
      <c r="J18" s="4"/>
      <c r="K18" s="4"/>
      <c r="L18" s="4"/>
    </row>
    <row r="19" spans="1:12" x14ac:dyDescent="0.3">
      <c r="A19" s="4"/>
      <c r="B19" s="4"/>
      <c r="C19" s="4"/>
      <c r="D19" s="4"/>
      <c r="E19" s="4"/>
      <c r="F19" s="4"/>
      <c r="G19" s="5" t="str">
        <f t="shared" si="0"/>
        <v/>
      </c>
      <c r="H19" s="4"/>
      <c r="I19" s="4"/>
      <c r="J19" s="4"/>
      <c r="K19" s="4"/>
      <c r="L19" s="4"/>
    </row>
    <row r="20" spans="1:12" x14ac:dyDescent="0.3">
      <c r="A20" s="4"/>
      <c r="B20" s="4"/>
      <c r="C20" s="4"/>
      <c r="D20" s="4"/>
      <c r="E20" s="4"/>
      <c r="F20" s="4"/>
      <c r="G20" s="5" t="str">
        <f t="shared" si="0"/>
        <v/>
      </c>
      <c r="H20" s="4"/>
      <c r="I20" s="4"/>
      <c r="J20" s="4"/>
      <c r="K20" s="4"/>
      <c r="L20" s="4"/>
    </row>
    <row r="21" spans="1:12" x14ac:dyDescent="0.3">
      <c r="A21" s="4"/>
      <c r="B21" s="4"/>
      <c r="C21" s="4"/>
      <c r="D21" s="4"/>
      <c r="E21" s="4"/>
      <c r="F21" s="4"/>
      <c r="G21" s="5" t="str">
        <f t="shared" si="0"/>
        <v/>
      </c>
      <c r="H21" s="4"/>
      <c r="I21" s="4"/>
      <c r="J21" s="4"/>
      <c r="K21" s="4"/>
      <c r="L21" s="4"/>
    </row>
    <row r="22" spans="1:12" x14ac:dyDescent="0.3">
      <c r="A22" s="4"/>
      <c r="B22" s="4"/>
      <c r="C22" s="4"/>
      <c r="D22" s="4"/>
      <c r="E22" s="4"/>
      <c r="F22" s="4"/>
      <c r="G22" s="5" t="str">
        <f t="shared" si="0"/>
        <v/>
      </c>
      <c r="H22" s="4"/>
      <c r="I22" s="4"/>
      <c r="J22" s="4"/>
      <c r="K22" s="4"/>
      <c r="L22" s="4"/>
    </row>
    <row r="23" spans="1:12" x14ac:dyDescent="0.3">
      <c r="A23" s="4"/>
      <c r="B23" s="4"/>
      <c r="C23" s="4"/>
      <c r="D23" s="4"/>
      <c r="E23" s="4"/>
      <c r="F23" s="4"/>
      <c r="G23" s="5" t="str">
        <f t="shared" si="0"/>
        <v/>
      </c>
      <c r="H23" s="4"/>
      <c r="I23" s="4"/>
      <c r="J23" s="4"/>
      <c r="K23" s="4"/>
      <c r="L23" s="4"/>
    </row>
    <row r="24" spans="1:12" x14ac:dyDescent="0.3">
      <c r="A24" s="4"/>
      <c r="B24" s="4"/>
      <c r="C24" s="4"/>
      <c r="D24" s="4"/>
      <c r="E24" s="4"/>
      <c r="F24" s="4"/>
      <c r="G24" s="5" t="str">
        <f t="shared" si="0"/>
        <v/>
      </c>
      <c r="H24" s="4"/>
      <c r="I24" s="4"/>
      <c r="J24" s="4"/>
      <c r="K24" s="4"/>
      <c r="L24" s="4"/>
    </row>
    <row r="25" spans="1:12" x14ac:dyDescent="0.3">
      <c r="A25" s="4"/>
      <c r="B25" s="4"/>
      <c r="C25" s="4"/>
      <c r="D25" s="4"/>
      <c r="E25" s="4"/>
      <c r="F25" s="4"/>
      <c r="G25" s="5" t="str">
        <f t="shared" si="0"/>
        <v/>
      </c>
      <c r="H25" s="4"/>
      <c r="I25" s="4"/>
      <c r="J25" s="4"/>
      <c r="K25" s="4"/>
      <c r="L25" s="4"/>
    </row>
    <row r="26" spans="1:12" x14ac:dyDescent="0.3">
      <c r="A26" s="4"/>
      <c r="B26" s="4"/>
      <c r="C26" s="4"/>
      <c r="D26" s="4"/>
      <c r="E26" s="4"/>
      <c r="F26" s="4"/>
      <c r="G26" s="5" t="str">
        <f t="shared" si="0"/>
        <v/>
      </c>
      <c r="H26" s="4"/>
      <c r="I26" s="4"/>
      <c r="J26" s="4"/>
      <c r="K26" s="4"/>
      <c r="L26" s="4"/>
    </row>
    <row r="27" spans="1:12" x14ac:dyDescent="0.3">
      <c r="A27" s="4"/>
      <c r="B27" s="4"/>
      <c r="C27" s="4"/>
      <c r="D27" s="4"/>
      <c r="E27" s="4"/>
      <c r="F27" s="4"/>
      <c r="G27" s="5" t="str">
        <f t="shared" si="0"/>
        <v/>
      </c>
      <c r="H27" s="4"/>
      <c r="I27" s="4"/>
      <c r="J27" s="4"/>
      <c r="K27" s="4"/>
      <c r="L27" s="4"/>
    </row>
    <row r="28" spans="1:12" x14ac:dyDescent="0.3">
      <c r="A28" s="4"/>
      <c r="B28" s="4"/>
      <c r="C28" s="4"/>
      <c r="D28" s="4"/>
      <c r="E28" s="4"/>
      <c r="F28" s="4"/>
      <c r="G28" s="5" t="str">
        <f t="shared" si="0"/>
        <v/>
      </c>
      <c r="H28" s="4"/>
      <c r="I28" s="4"/>
      <c r="J28" s="4"/>
      <c r="K28" s="4"/>
      <c r="L28" s="4"/>
    </row>
    <row r="29" spans="1:12" x14ac:dyDescent="0.3">
      <c r="A29" s="4"/>
      <c r="B29" s="4"/>
      <c r="C29" s="4"/>
      <c r="D29" s="4"/>
      <c r="E29" s="4"/>
      <c r="F29" s="4"/>
      <c r="G29" s="5" t="str">
        <f t="shared" si="0"/>
        <v/>
      </c>
      <c r="H29" s="4"/>
      <c r="I29" s="4"/>
      <c r="J29" s="4"/>
      <c r="K29" s="4"/>
      <c r="L29" s="4"/>
    </row>
    <row r="30" spans="1:12" x14ac:dyDescent="0.3">
      <c r="A30" s="4"/>
      <c r="B30" s="4"/>
      <c r="C30" s="4"/>
      <c r="D30" s="4"/>
      <c r="E30" s="4"/>
      <c r="F30" s="4"/>
      <c r="G30" s="5" t="str">
        <f t="shared" si="0"/>
        <v/>
      </c>
      <c r="H30" s="4"/>
      <c r="I30" s="4"/>
      <c r="J30" s="4"/>
      <c r="K30" s="4"/>
      <c r="L30" s="4"/>
    </row>
    <row r="31" spans="1:12" x14ac:dyDescent="0.3">
      <c r="A31" s="4"/>
      <c r="B31" s="4"/>
      <c r="C31" s="4"/>
      <c r="D31" s="4"/>
      <c r="E31" s="4"/>
      <c r="F31" s="4"/>
      <c r="G31" s="5" t="str">
        <f t="shared" si="0"/>
        <v/>
      </c>
      <c r="H31" s="4"/>
      <c r="I31" s="4"/>
      <c r="J31" s="4"/>
      <c r="K31" s="4"/>
      <c r="L31" s="4"/>
    </row>
    <row r="32" spans="1:12" x14ac:dyDescent="0.3">
      <c r="A32" s="4"/>
      <c r="B32" s="4"/>
      <c r="C32" s="4"/>
      <c r="D32" s="4"/>
      <c r="E32" s="4"/>
      <c r="F32" s="4"/>
      <c r="G32" s="5" t="str">
        <f t="shared" si="0"/>
        <v/>
      </c>
      <c r="H32" s="4"/>
      <c r="I32" s="4"/>
      <c r="J32" s="4"/>
      <c r="K32" s="4"/>
      <c r="L32" s="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topLeftCell="C1" zoomScale="70" zoomScaleNormal="70" workbookViewId="0">
      <pane ySplit="3" topLeftCell="A4" activePane="bottomLeft" state="frozen"/>
      <selection pane="bottomLeft" activeCell="K4" sqref="K4"/>
    </sheetView>
  </sheetViews>
  <sheetFormatPr defaultColWidth="8.6640625" defaultRowHeight="14.4" x14ac:dyDescent="0.3"/>
  <cols>
    <col min="1" max="1" width="10" customWidth="1"/>
    <col min="2" max="2" width="20" customWidth="1"/>
    <col min="3" max="3" width="14" customWidth="1"/>
    <col min="4" max="4" width="22" customWidth="1"/>
    <col min="5" max="5" width="30" customWidth="1"/>
    <col min="6" max="6" width="10" customWidth="1"/>
    <col min="7" max="9" width="12" customWidth="1"/>
    <col min="10" max="11" width="10" customWidth="1"/>
    <col min="12" max="13" width="12" customWidth="1"/>
    <col min="14" max="14" width="14" customWidth="1"/>
    <col min="15" max="15" width="12" customWidth="1"/>
    <col min="16" max="16" width="30" customWidth="1"/>
  </cols>
  <sheetData>
    <row r="1" spans="1:16" ht="16.8" x14ac:dyDescent="0.3">
      <c r="A1" s="6" t="s">
        <v>50</v>
      </c>
      <c r="B1" s="6"/>
      <c r="C1" s="6"/>
      <c r="D1" s="6"/>
      <c r="E1" s="6"/>
      <c r="F1" s="6"/>
      <c r="G1" s="6"/>
      <c r="H1" s="6"/>
      <c r="I1" s="6"/>
      <c r="J1" s="6"/>
      <c r="K1" s="6"/>
      <c r="L1" s="6"/>
      <c r="M1" s="6"/>
      <c r="N1" s="6"/>
      <c r="O1" s="6"/>
      <c r="P1" s="6"/>
    </row>
    <row r="2" spans="1:16" ht="15" customHeight="1" x14ac:dyDescent="0.3">
      <c r="A2" s="11" t="s">
        <v>51</v>
      </c>
      <c r="B2" s="2"/>
      <c r="C2" s="2"/>
      <c r="D2" s="2"/>
      <c r="E2" s="2"/>
      <c r="F2" s="2"/>
      <c r="G2" s="2"/>
      <c r="H2" s="2"/>
      <c r="I2" s="2"/>
      <c r="J2" s="2"/>
      <c r="K2" s="2"/>
      <c r="L2" s="2"/>
      <c r="M2" s="2"/>
      <c r="N2" s="2"/>
      <c r="O2" s="2"/>
      <c r="P2" s="2"/>
    </row>
    <row r="3" spans="1:16" ht="41.4" x14ac:dyDescent="0.3">
      <c r="A3" s="3" t="s">
        <v>2</v>
      </c>
      <c r="B3" s="3" t="s">
        <v>24</v>
      </c>
      <c r="C3" s="3" t="s">
        <v>25</v>
      </c>
      <c r="D3" s="3" t="s">
        <v>52</v>
      </c>
      <c r="E3" s="3" t="s">
        <v>53</v>
      </c>
      <c r="F3" s="3" t="s">
        <v>54</v>
      </c>
      <c r="G3" s="3" t="s">
        <v>55</v>
      </c>
      <c r="H3" s="3" t="s">
        <v>56</v>
      </c>
      <c r="I3" s="3" t="s">
        <v>20</v>
      </c>
      <c r="J3" s="3" t="s">
        <v>57</v>
      </c>
      <c r="K3" s="3" t="s">
        <v>58</v>
      </c>
      <c r="L3" s="3" t="s">
        <v>59</v>
      </c>
      <c r="M3" s="3" t="s">
        <v>45</v>
      </c>
      <c r="N3" s="3" t="s">
        <v>60</v>
      </c>
      <c r="O3" s="3" t="s">
        <v>61</v>
      </c>
      <c r="P3" s="3" t="s">
        <v>62</v>
      </c>
    </row>
    <row r="4" spans="1:16" ht="92.4" x14ac:dyDescent="0.3">
      <c r="A4" s="4">
        <v>1</v>
      </c>
      <c r="B4" s="4" t="s">
        <v>161</v>
      </c>
      <c r="C4" s="4" t="s">
        <v>147</v>
      </c>
      <c r="D4" s="4" t="s">
        <v>147</v>
      </c>
      <c r="E4" s="17" t="s">
        <v>162</v>
      </c>
      <c r="F4" s="4">
        <v>89139</v>
      </c>
      <c r="G4" s="9">
        <v>46088</v>
      </c>
      <c r="H4" s="19">
        <v>200</v>
      </c>
      <c r="I4" s="4"/>
      <c r="J4" s="7" t="str">
        <f t="shared" ref="J4:J23" si="0">IF(AND(I4&lt;&gt;"",H4&lt;&gt;""),I4-H4,"")</f>
        <v/>
      </c>
      <c r="K4" s="4"/>
      <c r="L4" s="4"/>
      <c r="M4" s="4"/>
      <c r="N4" s="4"/>
      <c r="O4" s="4"/>
      <c r="P4" s="4" t="s">
        <v>163</v>
      </c>
    </row>
    <row r="5" spans="1:16" x14ac:dyDescent="0.3">
      <c r="A5" s="4"/>
      <c r="B5" s="4"/>
      <c r="C5" s="4"/>
      <c r="D5" s="4"/>
      <c r="E5" s="4"/>
      <c r="F5" s="4"/>
      <c r="G5" s="4"/>
      <c r="H5" s="4"/>
      <c r="I5" s="4"/>
      <c r="J5" s="7" t="str">
        <f t="shared" si="0"/>
        <v/>
      </c>
      <c r="K5" s="4"/>
      <c r="L5" s="4"/>
      <c r="M5" s="4"/>
      <c r="N5" s="4"/>
      <c r="O5" s="4"/>
      <c r="P5" s="4"/>
    </row>
    <row r="6" spans="1:16" x14ac:dyDescent="0.3">
      <c r="A6" s="4"/>
      <c r="B6" s="4"/>
      <c r="C6" s="4"/>
      <c r="D6" s="4"/>
      <c r="E6" s="4"/>
      <c r="F6" s="4"/>
      <c r="G6" s="4"/>
      <c r="H6" s="4"/>
      <c r="I6" s="4"/>
      <c r="J6" s="7" t="str">
        <f t="shared" si="0"/>
        <v/>
      </c>
      <c r="K6" s="4"/>
      <c r="L6" s="4"/>
      <c r="M6" s="4"/>
      <c r="N6" s="4"/>
      <c r="O6" s="4"/>
      <c r="P6" s="4"/>
    </row>
    <row r="7" spans="1:16" x14ac:dyDescent="0.3">
      <c r="A7" s="4"/>
      <c r="B7" s="4"/>
      <c r="C7" s="4"/>
      <c r="D7" s="4"/>
      <c r="E7" s="4"/>
      <c r="F7" s="4"/>
      <c r="G7" s="4"/>
      <c r="H7" s="4"/>
      <c r="I7" s="4"/>
      <c r="J7" s="7" t="str">
        <f t="shared" si="0"/>
        <v/>
      </c>
      <c r="K7" s="4"/>
      <c r="L7" s="4"/>
      <c r="M7" s="4"/>
      <c r="N7" s="4"/>
      <c r="O7" s="4"/>
      <c r="P7" s="4"/>
    </row>
    <row r="8" spans="1:16" x14ac:dyDescent="0.3">
      <c r="A8" s="4"/>
      <c r="B8" s="4"/>
      <c r="C8" s="4"/>
      <c r="D8" s="4"/>
      <c r="E8" s="4"/>
      <c r="F8" s="4"/>
      <c r="G8" s="4"/>
      <c r="H8" s="4"/>
      <c r="I8" s="4"/>
      <c r="J8" s="7" t="str">
        <f t="shared" si="0"/>
        <v/>
      </c>
      <c r="K8" s="4"/>
      <c r="L8" s="4"/>
      <c r="M8" s="4"/>
      <c r="N8" s="4"/>
      <c r="O8" s="4"/>
      <c r="P8" s="4"/>
    </row>
    <row r="9" spans="1:16" x14ac:dyDescent="0.3">
      <c r="A9" s="4"/>
      <c r="B9" s="4"/>
      <c r="C9" s="4"/>
      <c r="D9" s="4"/>
      <c r="E9" s="4"/>
      <c r="F9" s="4"/>
      <c r="G9" s="4"/>
      <c r="H9" s="4"/>
      <c r="I9" s="4"/>
      <c r="J9" s="7" t="str">
        <f t="shared" si="0"/>
        <v/>
      </c>
      <c r="K9" s="4"/>
      <c r="L9" s="4"/>
      <c r="M9" s="4"/>
      <c r="N9" s="4"/>
      <c r="O9" s="4"/>
      <c r="P9" s="4"/>
    </row>
    <row r="10" spans="1:16" x14ac:dyDescent="0.3">
      <c r="A10" s="4"/>
      <c r="B10" s="4"/>
      <c r="C10" s="4"/>
      <c r="D10" s="4"/>
      <c r="E10" s="4"/>
      <c r="F10" s="4"/>
      <c r="G10" s="4"/>
      <c r="H10" s="4"/>
      <c r="I10" s="4"/>
      <c r="J10" s="7" t="str">
        <f t="shared" si="0"/>
        <v/>
      </c>
      <c r="K10" s="4"/>
      <c r="L10" s="4"/>
      <c r="M10" s="4"/>
      <c r="N10" s="4"/>
      <c r="O10" s="4"/>
      <c r="P10" s="4"/>
    </row>
    <row r="11" spans="1:16" x14ac:dyDescent="0.3">
      <c r="A11" s="4"/>
      <c r="B11" s="4"/>
      <c r="C11" s="4"/>
      <c r="D11" s="4"/>
      <c r="E11" s="4"/>
      <c r="F11" s="4"/>
      <c r="G11" s="4"/>
      <c r="H11" s="4"/>
      <c r="I11" s="4"/>
      <c r="J11" s="7" t="str">
        <f t="shared" si="0"/>
        <v/>
      </c>
      <c r="K11" s="4"/>
      <c r="L11" s="4"/>
      <c r="M11" s="4"/>
      <c r="N11" s="4"/>
      <c r="O11" s="4"/>
      <c r="P11" s="4"/>
    </row>
    <row r="12" spans="1:16" x14ac:dyDescent="0.3">
      <c r="A12" s="4"/>
      <c r="B12" s="4"/>
      <c r="C12" s="4"/>
      <c r="D12" s="4"/>
      <c r="E12" s="4"/>
      <c r="F12" s="4"/>
      <c r="G12" s="4"/>
      <c r="H12" s="4"/>
      <c r="I12" s="4"/>
      <c r="J12" s="7" t="str">
        <f t="shared" si="0"/>
        <v/>
      </c>
      <c r="K12" s="4"/>
      <c r="L12" s="4"/>
      <c r="M12" s="4"/>
      <c r="N12" s="4"/>
      <c r="O12" s="4"/>
      <c r="P12" s="4"/>
    </row>
    <row r="13" spans="1:16" x14ac:dyDescent="0.3">
      <c r="A13" s="4"/>
      <c r="B13" s="4"/>
      <c r="C13" s="4"/>
      <c r="D13" s="4"/>
      <c r="E13" s="4"/>
      <c r="F13" s="4"/>
      <c r="G13" s="4"/>
      <c r="H13" s="4"/>
      <c r="I13" s="4"/>
      <c r="J13" s="7" t="str">
        <f t="shared" si="0"/>
        <v/>
      </c>
      <c r="K13" s="4"/>
      <c r="L13" s="4"/>
      <c r="M13" s="4"/>
      <c r="N13" s="4"/>
      <c r="O13" s="4"/>
      <c r="P13" s="4"/>
    </row>
    <row r="14" spans="1:16" x14ac:dyDescent="0.3">
      <c r="A14" s="4"/>
      <c r="B14" s="4"/>
      <c r="C14" s="4"/>
      <c r="D14" s="4"/>
      <c r="E14" s="4"/>
      <c r="F14" s="4"/>
      <c r="G14" s="4"/>
      <c r="H14" s="4"/>
      <c r="I14" s="4"/>
      <c r="J14" s="7" t="str">
        <f t="shared" si="0"/>
        <v/>
      </c>
      <c r="K14" s="4"/>
      <c r="L14" s="4"/>
      <c r="M14" s="4"/>
      <c r="N14" s="4"/>
      <c r="O14" s="4"/>
      <c r="P14" s="4"/>
    </row>
    <row r="15" spans="1:16" x14ac:dyDescent="0.3">
      <c r="A15" s="4"/>
      <c r="B15" s="4"/>
      <c r="C15" s="4"/>
      <c r="D15" s="4"/>
      <c r="E15" s="4"/>
      <c r="F15" s="4"/>
      <c r="G15" s="4"/>
      <c r="H15" s="4"/>
      <c r="I15" s="4"/>
      <c r="J15" s="7" t="str">
        <f t="shared" si="0"/>
        <v/>
      </c>
      <c r="K15" s="4"/>
      <c r="L15" s="4"/>
      <c r="M15" s="4"/>
      <c r="N15" s="4"/>
      <c r="O15" s="4"/>
      <c r="P15" s="4"/>
    </row>
    <row r="16" spans="1:16" x14ac:dyDescent="0.3">
      <c r="A16" s="4"/>
      <c r="B16" s="4"/>
      <c r="C16" s="4"/>
      <c r="D16" s="4"/>
      <c r="E16" s="4"/>
      <c r="F16" s="4"/>
      <c r="G16" s="4"/>
      <c r="H16" s="4"/>
      <c r="I16" s="4"/>
      <c r="J16" s="7" t="str">
        <f t="shared" si="0"/>
        <v/>
      </c>
      <c r="K16" s="4"/>
      <c r="L16" s="4"/>
      <c r="M16" s="4"/>
      <c r="N16" s="4"/>
      <c r="O16" s="4"/>
      <c r="P16" s="4"/>
    </row>
    <row r="17" spans="1:16" x14ac:dyDescent="0.3">
      <c r="A17" s="4"/>
      <c r="B17" s="4"/>
      <c r="C17" s="4"/>
      <c r="D17" s="4"/>
      <c r="E17" s="4"/>
      <c r="F17" s="4"/>
      <c r="G17" s="4"/>
      <c r="H17" s="4"/>
      <c r="I17" s="4"/>
      <c r="J17" s="7" t="str">
        <f t="shared" si="0"/>
        <v/>
      </c>
      <c r="K17" s="4"/>
      <c r="L17" s="4"/>
      <c r="M17" s="4"/>
      <c r="N17" s="4"/>
      <c r="O17" s="4"/>
      <c r="P17" s="4"/>
    </row>
    <row r="18" spans="1:16" x14ac:dyDescent="0.3">
      <c r="A18" s="4"/>
      <c r="B18" s="4"/>
      <c r="C18" s="4"/>
      <c r="D18" s="4"/>
      <c r="E18" s="4"/>
      <c r="F18" s="4"/>
      <c r="G18" s="4"/>
      <c r="H18" s="4"/>
      <c r="I18" s="4"/>
      <c r="J18" s="7" t="str">
        <f t="shared" si="0"/>
        <v/>
      </c>
      <c r="K18" s="4"/>
      <c r="L18" s="4"/>
      <c r="M18" s="4"/>
      <c r="N18" s="4"/>
      <c r="O18" s="4"/>
      <c r="P18" s="4"/>
    </row>
    <row r="19" spans="1:16" x14ac:dyDescent="0.3">
      <c r="A19" s="4"/>
      <c r="B19" s="4"/>
      <c r="C19" s="4"/>
      <c r="D19" s="4"/>
      <c r="E19" s="4"/>
      <c r="F19" s="4"/>
      <c r="G19" s="4"/>
      <c r="H19" s="4"/>
      <c r="I19" s="4"/>
      <c r="J19" s="7" t="str">
        <f t="shared" si="0"/>
        <v/>
      </c>
      <c r="K19" s="4"/>
      <c r="L19" s="4"/>
      <c r="M19" s="4"/>
      <c r="N19" s="4"/>
      <c r="O19" s="4"/>
      <c r="P19" s="4"/>
    </row>
    <row r="20" spans="1:16" x14ac:dyDescent="0.3">
      <c r="A20" s="4"/>
      <c r="B20" s="4"/>
      <c r="C20" s="4"/>
      <c r="D20" s="4"/>
      <c r="E20" s="4"/>
      <c r="F20" s="4"/>
      <c r="G20" s="4"/>
      <c r="H20" s="4"/>
      <c r="I20" s="4"/>
      <c r="J20" s="7" t="str">
        <f t="shared" si="0"/>
        <v/>
      </c>
      <c r="K20" s="4"/>
      <c r="L20" s="4"/>
      <c r="M20" s="4"/>
      <c r="N20" s="4"/>
      <c r="O20" s="4"/>
      <c r="P20" s="4"/>
    </row>
    <row r="21" spans="1:16" x14ac:dyDescent="0.3">
      <c r="A21" s="4"/>
      <c r="B21" s="4"/>
      <c r="C21" s="4"/>
      <c r="D21" s="4"/>
      <c r="E21" s="4"/>
      <c r="F21" s="4"/>
      <c r="G21" s="4"/>
      <c r="H21" s="4"/>
      <c r="I21" s="4"/>
      <c r="J21" s="7" t="str">
        <f t="shared" si="0"/>
        <v/>
      </c>
      <c r="K21" s="4"/>
      <c r="L21" s="4"/>
      <c r="M21" s="4"/>
      <c r="N21" s="4"/>
      <c r="O21" s="4"/>
      <c r="P21" s="4"/>
    </row>
    <row r="22" spans="1:16" x14ac:dyDescent="0.3">
      <c r="A22" s="4"/>
      <c r="B22" s="4"/>
      <c r="C22" s="4"/>
      <c r="D22" s="4"/>
      <c r="E22" s="4"/>
      <c r="F22" s="4"/>
      <c r="G22" s="4"/>
      <c r="H22" s="4"/>
      <c r="I22" s="4"/>
      <c r="J22" s="7" t="str">
        <f t="shared" si="0"/>
        <v/>
      </c>
      <c r="K22" s="4"/>
      <c r="L22" s="4"/>
      <c r="M22" s="4"/>
      <c r="N22" s="4"/>
      <c r="O22" s="4"/>
      <c r="P22" s="4"/>
    </row>
    <row r="23" spans="1:16" x14ac:dyDescent="0.3">
      <c r="A23" s="4"/>
      <c r="B23" s="4"/>
      <c r="C23" s="4"/>
      <c r="D23" s="4"/>
      <c r="E23" s="4"/>
      <c r="F23" s="4"/>
      <c r="G23" s="4"/>
      <c r="H23" s="4"/>
      <c r="I23" s="4"/>
      <c r="J23" s="7" t="str">
        <f t="shared" si="0"/>
        <v/>
      </c>
      <c r="K23" s="4"/>
      <c r="L23" s="4"/>
      <c r="M23" s="4"/>
      <c r="N23" s="4"/>
      <c r="O23" s="4"/>
      <c r="P23" s="4"/>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
  <sheetViews>
    <sheetView zoomScale="70" zoomScaleNormal="70" workbookViewId="0">
      <pane ySplit="3" topLeftCell="A4" activePane="bottomLeft" state="frozen"/>
      <selection pane="bottomLeft" activeCell="C4" sqref="C4"/>
    </sheetView>
  </sheetViews>
  <sheetFormatPr defaultColWidth="8.6640625" defaultRowHeight="14.4" x14ac:dyDescent="0.3"/>
  <cols>
    <col min="1" max="1" width="10" customWidth="1"/>
    <col min="2" max="2" width="18" customWidth="1"/>
    <col min="3" max="3" width="12" customWidth="1"/>
    <col min="4" max="5" width="16" customWidth="1"/>
    <col min="6" max="6" width="12" customWidth="1"/>
    <col min="7" max="10" width="14" customWidth="1"/>
    <col min="11" max="11" width="40" customWidth="1"/>
  </cols>
  <sheetData>
    <row r="1" spans="1:11" ht="16.8" x14ac:dyDescent="0.3">
      <c r="A1" s="6" t="s">
        <v>63</v>
      </c>
      <c r="B1" s="6"/>
      <c r="C1" s="6"/>
      <c r="D1" s="6"/>
      <c r="E1" s="6"/>
      <c r="F1" s="6"/>
      <c r="G1" s="6"/>
      <c r="H1" s="6"/>
      <c r="I1" s="6"/>
      <c r="J1" s="6"/>
      <c r="K1" s="6"/>
    </row>
    <row r="2" spans="1:11" ht="15" customHeight="1" x14ac:dyDescent="0.3">
      <c r="A2" s="11" t="s">
        <v>64</v>
      </c>
      <c r="B2" s="2"/>
      <c r="C2" s="2"/>
      <c r="D2" s="2"/>
      <c r="E2" s="2"/>
      <c r="F2" s="2"/>
      <c r="G2" s="2"/>
      <c r="H2" s="2"/>
      <c r="I2" s="2"/>
      <c r="J2" s="2"/>
      <c r="K2" s="2"/>
    </row>
    <row r="3" spans="1:11" ht="41.4" x14ac:dyDescent="0.3">
      <c r="A3" s="3" t="s">
        <v>2</v>
      </c>
      <c r="B3" s="3" t="s">
        <v>5</v>
      </c>
      <c r="C3" s="3" t="s">
        <v>65</v>
      </c>
      <c r="D3" s="3" t="s">
        <v>66</v>
      </c>
      <c r="E3" s="3" t="s">
        <v>67</v>
      </c>
      <c r="F3" s="3" t="s">
        <v>68</v>
      </c>
      <c r="G3" s="3" t="s">
        <v>69</v>
      </c>
      <c r="H3" s="3" t="s">
        <v>70</v>
      </c>
      <c r="I3" s="3" t="s">
        <v>71</v>
      </c>
      <c r="J3" s="3" t="s">
        <v>72</v>
      </c>
      <c r="K3" s="3" t="s">
        <v>73</v>
      </c>
    </row>
    <row r="4" spans="1:11" x14ac:dyDescent="0.3">
      <c r="A4" s="4">
        <v>1</v>
      </c>
      <c r="B4" s="4" t="s">
        <v>111</v>
      </c>
      <c r="C4" s="4"/>
      <c r="D4" s="4"/>
      <c r="E4" s="4"/>
      <c r="F4" s="8" t="str">
        <f t="shared" ref="F4:F23" si="0">IF(AND(D4&lt;&gt;"",E4&lt;&gt;""),D4-E4,"")</f>
        <v/>
      </c>
      <c r="G4" s="4"/>
      <c r="H4" s="4"/>
      <c r="I4" s="4"/>
      <c r="J4" s="4"/>
      <c r="K4" s="4"/>
    </row>
    <row r="5" spans="1:11" x14ac:dyDescent="0.3">
      <c r="A5" s="4"/>
      <c r="B5" s="4"/>
      <c r="C5" s="4"/>
      <c r="D5" s="4"/>
      <c r="E5" s="4"/>
      <c r="F5" s="8" t="str">
        <f t="shared" si="0"/>
        <v/>
      </c>
      <c r="G5" s="4"/>
      <c r="H5" s="4"/>
      <c r="I5" s="4"/>
      <c r="J5" s="4"/>
      <c r="K5" s="4"/>
    </row>
    <row r="6" spans="1:11" x14ac:dyDescent="0.3">
      <c r="A6" s="4"/>
      <c r="B6" s="4"/>
      <c r="C6" s="4"/>
      <c r="D6" s="4"/>
      <c r="E6" s="4"/>
      <c r="F6" s="8" t="str">
        <f t="shared" si="0"/>
        <v/>
      </c>
      <c r="G6" s="4"/>
      <c r="H6" s="4"/>
      <c r="I6" s="4"/>
      <c r="J6" s="4"/>
      <c r="K6" s="4"/>
    </row>
    <row r="7" spans="1:11" x14ac:dyDescent="0.3">
      <c r="A7" s="4"/>
      <c r="B7" s="4"/>
      <c r="C7" s="4"/>
      <c r="D7" s="4"/>
      <c r="E7" s="4"/>
      <c r="F7" s="8" t="str">
        <f t="shared" si="0"/>
        <v/>
      </c>
      <c r="G7" s="4"/>
      <c r="H7" s="4"/>
      <c r="I7" s="4"/>
      <c r="J7" s="4"/>
      <c r="K7" s="4"/>
    </row>
    <row r="8" spans="1:11" x14ac:dyDescent="0.3">
      <c r="A8" s="4"/>
      <c r="B8" s="4"/>
      <c r="C8" s="4"/>
      <c r="D8" s="4"/>
      <c r="E8" s="4"/>
      <c r="F8" s="8" t="str">
        <f t="shared" si="0"/>
        <v/>
      </c>
      <c r="G8" s="4"/>
      <c r="H8" s="4"/>
      <c r="I8" s="4"/>
      <c r="J8" s="4"/>
      <c r="K8" s="4"/>
    </row>
    <row r="9" spans="1:11" x14ac:dyDescent="0.3">
      <c r="A9" s="4"/>
      <c r="B9" s="4"/>
      <c r="C9" s="4"/>
      <c r="D9" s="4"/>
      <c r="E9" s="4"/>
      <c r="F9" s="8" t="str">
        <f t="shared" si="0"/>
        <v/>
      </c>
      <c r="G9" s="4"/>
      <c r="H9" s="4"/>
      <c r="I9" s="4"/>
      <c r="J9" s="4"/>
      <c r="K9" s="4"/>
    </row>
    <row r="10" spans="1:11" x14ac:dyDescent="0.3">
      <c r="A10" s="4"/>
      <c r="B10" s="4"/>
      <c r="C10" s="4"/>
      <c r="D10" s="4"/>
      <c r="E10" s="4"/>
      <c r="F10" s="8" t="str">
        <f t="shared" si="0"/>
        <v/>
      </c>
      <c r="G10" s="4"/>
      <c r="H10" s="4"/>
      <c r="I10" s="4"/>
      <c r="J10" s="4"/>
      <c r="K10" s="4"/>
    </row>
    <row r="11" spans="1:11" x14ac:dyDescent="0.3">
      <c r="A11" s="4"/>
      <c r="B11" s="4"/>
      <c r="C11" s="4"/>
      <c r="D11" s="4"/>
      <c r="E11" s="4"/>
      <c r="F11" s="8" t="str">
        <f t="shared" si="0"/>
        <v/>
      </c>
      <c r="G11" s="4"/>
      <c r="H11" s="4"/>
      <c r="I11" s="4"/>
      <c r="J11" s="4"/>
      <c r="K11" s="4"/>
    </row>
    <row r="12" spans="1:11" x14ac:dyDescent="0.3">
      <c r="A12" s="4"/>
      <c r="B12" s="4"/>
      <c r="C12" s="4"/>
      <c r="D12" s="4"/>
      <c r="E12" s="4"/>
      <c r="F12" s="8" t="str">
        <f t="shared" si="0"/>
        <v/>
      </c>
      <c r="G12" s="4"/>
      <c r="H12" s="4"/>
      <c r="I12" s="4"/>
      <c r="J12" s="4"/>
      <c r="K12" s="4"/>
    </row>
    <row r="13" spans="1:11" x14ac:dyDescent="0.3">
      <c r="A13" s="4"/>
      <c r="B13" s="4"/>
      <c r="C13" s="4"/>
      <c r="D13" s="4"/>
      <c r="E13" s="4"/>
      <c r="F13" s="8" t="str">
        <f t="shared" si="0"/>
        <v/>
      </c>
      <c r="G13" s="4"/>
      <c r="H13" s="4"/>
      <c r="I13" s="4"/>
      <c r="J13" s="4"/>
      <c r="K13" s="4"/>
    </row>
    <row r="14" spans="1:11" x14ac:dyDescent="0.3">
      <c r="A14" s="4"/>
      <c r="B14" s="4"/>
      <c r="C14" s="4"/>
      <c r="D14" s="4"/>
      <c r="E14" s="4"/>
      <c r="F14" s="8" t="str">
        <f t="shared" si="0"/>
        <v/>
      </c>
      <c r="G14" s="4"/>
      <c r="H14" s="4"/>
      <c r="I14" s="4"/>
      <c r="J14" s="4"/>
      <c r="K14" s="4"/>
    </row>
    <row r="15" spans="1:11" x14ac:dyDescent="0.3">
      <c r="A15" s="4"/>
      <c r="B15" s="4"/>
      <c r="C15" s="4"/>
      <c r="D15" s="4"/>
      <c r="E15" s="4"/>
      <c r="F15" s="8" t="str">
        <f t="shared" si="0"/>
        <v/>
      </c>
      <c r="G15" s="4"/>
      <c r="H15" s="4"/>
      <c r="I15" s="4"/>
      <c r="J15" s="4"/>
      <c r="K15" s="4"/>
    </row>
    <row r="16" spans="1:11" x14ac:dyDescent="0.3">
      <c r="A16" s="4"/>
      <c r="B16" s="4"/>
      <c r="C16" s="4"/>
      <c r="D16" s="4"/>
      <c r="E16" s="4"/>
      <c r="F16" s="8" t="str">
        <f t="shared" si="0"/>
        <v/>
      </c>
      <c r="G16" s="4"/>
      <c r="H16" s="4"/>
      <c r="I16" s="4"/>
      <c r="J16" s="4"/>
      <c r="K16" s="4"/>
    </row>
    <row r="17" spans="1:11" x14ac:dyDescent="0.3">
      <c r="A17" s="4"/>
      <c r="B17" s="4"/>
      <c r="C17" s="4"/>
      <c r="D17" s="4"/>
      <c r="E17" s="4"/>
      <c r="F17" s="8" t="str">
        <f t="shared" si="0"/>
        <v/>
      </c>
      <c r="G17" s="4"/>
      <c r="H17" s="4"/>
      <c r="I17" s="4"/>
      <c r="J17" s="4"/>
      <c r="K17" s="4"/>
    </row>
    <row r="18" spans="1:11" x14ac:dyDescent="0.3">
      <c r="A18" s="4"/>
      <c r="B18" s="4"/>
      <c r="C18" s="4"/>
      <c r="D18" s="4"/>
      <c r="E18" s="4"/>
      <c r="F18" s="8" t="str">
        <f t="shared" si="0"/>
        <v/>
      </c>
      <c r="G18" s="4"/>
      <c r="H18" s="4"/>
      <c r="I18" s="4"/>
      <c r="J18" s="4"/>
      <c r="K18" s="4"/>
    </row>
    <row r="19" spans="1:11" x14ac:dyDescent="0.3">
      <c r="A19" s="4"/>
      <c r="B19" s="4"/>
      <c r="C19" s="4"/>
      <c r="D19" s="4"/>
      <c r="E19" s="4"/>
      <c r="F19" s="8" t="str">
        <f t="shared" si="0"/>
        <v/>
      </c>
      <c r="G19" s="4"/>
      <c r="H19" s="4"/>
      <c r="I19" s="4"/>
      <c r="J19" s="4"/>
      <c r="K19" s="4"/>
    </row>
    <row r="20" spans="1:11" x14ac:dyDescent="0.3">
      <c r="A20" s="4"/>
      <c r="B20" s="4"/>
      <c r="C20" s="4"/>
      <c r="D20" s="4"/>
      <c r="E20" s="4"/>
      <c r="F20" s="8" t="str">
        <f t="shared" si="0"/>
        <v/>
      </c>
      <c r="G20" s="4"/>
      <c r="H20" s="4"/>
      <c r="I20" s="4"/>
      <c r="J20" s="4"/>
      <c r="K20" s="4"/>
    </row>
    <row r="21" spans="1:11" x14ac:dyDescent="0.3">
      <c r="A21" s="4"/>
      <c r="B21" s="4"/>
      <c r="C21" s="4"/>
      <c r="D21" s="4"/>
      <c r="E21" s="4"/>
      <c r="F21" s="8" t="str">
        <f t="shared" si="0"/>
        <v/>
      </c>
      <c r="G21" s="4"/>
      <c r="H21" s="4"/>
      <c r="I21" s="4"/>
      <c r="J21" s="4"/>
      <c r="K21" s="4"/>
    </row>
    <row r="22" spans="1:11" x14ac:dyDescent="0.3">
      <c r="A22" s="4"/>
      <c r="B22" s="4"/>
      <c r="C22" s="4"/>
      <c r="D22" s="4"/>
      <c r="E22" s="4"/>
      <c r="F22" s="8" t="str">
        <f t="shared" si="0"/>
        <v/>
      </c>
      <c r="G22" s="4"/>
      <c r="H22" s="4"/>
      <c r="I22" s="4"/>
      <c r="J22" s="4"/>
      <c r="K22" s="4"/>
    </row>
    <row r="23" spans="1:11" x14ac:dyDescent="0.3">
      <c r="A23" s="4"/>
      <c r="B23" s="4"/>
      <c r="C23" s="4"/>
      <c r="D23" s="4"/>
      <c r="E23" s="4"/>
      <c r="F23" s="8" t="str">
        <f t="shared" si="0"/>
        <v/>
      </c>
      <c r="G23" s="4"/>
      <c r="H23" s="4"/>
      <c r="I23" s="4"/>
      <c r="J23" s="4"/>
      <c r="K23" s="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
  <sheetViews>
    <sheetView zoomScale="70" zoomScaleNormal="70" workbookViewId="0">
      <pane ySplit="3" topLeftCell="A4" activePane="bottomLeft" state="frozen"/>
      <selection pane="bottomLeft" activeCell="F5" sqref="F5"/>
    </sheetView>
  </sheetViews>
  <sheetFormatPr defaultColWidth="8.6640625" defaultRowHeight="14.4" x14ac:dyDescent="0.3"/>
  <cols>
    <col min="1" max="1" width="45" customWidth="1"/>
    <col min="2" max="2" width="18" customWidth="1"/>
    <col min="3" max="3" width="14" customWidth="1"/>
    <col min="4" max="4" width="10" customWidth="1"/>
    <col min="5" max="5" width="25" customWidth="1"/>
    <col min="6" max="6" width="86.21875" customWidth="1"/>
  </cols>
  <sheetData>
    <row r="1" spans="1:6" ht="16.8" x14ac:dyDescent="0.3">
      <c r="A1" s="6" t="s">
        <v>74</v>
      </c>
      <c r="B1" s="6"/>
      <c r="C1" s="6"/>
      <c r="D1" s="6"/>
      <c r="E1" s="6"/>
      <c r="F1" s="6"/>
    </row>
    <row r="3" spans="1:6" x14ac:dyDescent="0.3">
      <c r="A3" s="3" t="s">
        <v>75</v>
      </c>
      <c r="B3" s="3" t="s">
        <v>76</v>
      </c>
      <c r="C3" s="3" t="s">
        <v>77</v>
      </c>
      <c r="D3" s="3" t="s">
        <v>11</v>
      </c>
      <c r="E3" s="3" t="s">
        <v>78</v>
      </c>
      <c r="F3" s="3" t="s">
        <v>21</v>
      </c>
    </row>
    <row r="4" spans="1:6" ht="26.4" x14ac:dyDescent="0.3">
      <c r="A4" s="4" t="s">
        <v>79</v>
      </c>
      <c r="B4" s="4" t="s">
        <v>80</v>
      </c>
      <c r="C4" s="4"/>
      <c r="D4" s="4"/>
      <c r="E4" s="4" t="s">
        <v>81</v>
      </c>
      <c r="F4" s="4"/>
    </row>
    <row r="5" spans="1:6" ht="224.4" x14ac:dyDescent="0.3">
      <c r="A5" s="4" t="s">
        <v>82</v>
      </c>
      <c r="B5" s="4" t="s">
        <v>83</v>
      </c>
      <c r="C5" s="4"/>
      <c r="D5" s="4"/>
      <c r="E5" s="4" t="s">
        <v>84</v>
      </c>
      <c r="F5" s="17" t="s">
        <v>138</v>
      </c>
    </row>
    <row r="6" spans="1:6" x14ac:dyDescent="0.3">
      <c r="A6" s="4" t="s">
        <v>85</v>
      </c>
      <c r="B6" s="4" t="s">
        <v>86</v>
      </c>
      <c r="C6" s="4"/>
      <c r="D6" s="4"/>
      <c r="E6" s="4" t="s">
        <v>87</v>
      </c>
      <c r="F6" s="4"/>
    </row>
    <row r="7" spans="1:6" x14ac:dyDescent="0.3">
      <c r="A7" s="4" t="s">
        <v>88</v>
      </c>
      <c r="B7" s="4" t="s">
        <v>89</v>
      </c>
      <c r="C7" s="4"/>
      <c r="D7" s="4"/>
      <c r="E7" s="4" t="s">
        <v>90</v>
      </c>
      <c r="F7" s="4"/>
    </row>
    <row r="8" spans="1:6" x14ac:dyDescent="0.3">
      <c r="A8" s="4" t="s">
        <v>91</v>
      </c>
      <c r="B8" s="4" t="s">
        <v>92</v>
      </c>
      <c r="C8" s="4"/>
      <c r="D8" s="4"/>
      <c r="E8" s="4" t="s">
        <v>93</v>
      </c>
      <c r="F8" s="4"/>
    </row>
    <row r="9" spans="1:6" ht="26.4" x14ac:dyDescent="0.3">
      <c r="A9" s="4" t="s">
        <v>94</v>
      </c>
      <c r="B9" s="4" t="s">
        <v>95</v>
      </c>
      <c r="C9" s="4"/>
      <c r="D9" s="4"/>
      <c r="E9" s="4" t="s">
        <v>96</v>
      </c>
      <c r="F9" s="4"/>
    </row>
    <row r="10" spans="1:6" x14ac:dyDescent="0.3">
      <c r="A10" s="4" t="s">
        <v>97</v>
      </c>
      <c r="B10" s="4" t="s">
        <v>98</v>
      </c>
      <c r="C10" s="4"/>
      <c r="D10" s="4"/>
      <c r="E10" s="4" t="s">
        <v>99</v>
      </c>
      <c r="F10" s="4"/>
    </row>
    <row r="11" spans="1:6" x14ac:dyDescent="0.3">
      <c r="A11" s="4" t="s">
        <v>100</v>
      </c>
      <c r="B11" s="4" t="s">
        <v>101</v>
      </c>
      <c r="C11" s="4"/>
      <c r="D11" s="4"/>
      <c r="E11" s="4" t="s">
        <v>102</v>
      </c>
      <c r="F11" s="4"/>
    </row>
    <row r="12" spans="1:6" x14ac:dyDescent="0.3">
      <c r="A12" s="4" t="s">
        <v>103</v>
      </c>
      <c r="B12" s="4" t="s">
        <v>104</v>
      </c>
      <c r="C12" s="4"/>
      <c r="D12" s="4"/>
      <c r="E12" s="4" t="s">
        <v>105</v>
      </c>
      <c r="F12" s="4"/>
    </row>
    <row r="13" spans="1:6" x14ac:dyDescent="0.3">
      <c r="A13" s="4" t="s">
        <v>106</v>
      </c>
      <c r="B13" s="4" t="s">
        <v>107</v>
      </c>
      <c r="C13" s="4"/>
      <c r="D13" s="4"/>
      <c r="E13" s="4" t="s">
        <v>108</v>
      </c>
      <c r="F13" s="4"/>
    </row>
    <row r="16" spans="1:6" x14ac:dyDescent="0.3">
      <c r="A16" s="14" t="s">
        <v>109</v>
      </c>
      <c r="B16" s="14"/>
      <c r="C16" s="14"/>
      <c r="D16" s="14"/>
      <c r="E16" s="14"/>
      <c r="F16" s="14"/>
    </row>
    <row r="17" spans="1:6" ht="14.4" customHeight="1" x14ac:dyDescent="0.3">
      <c r="A17" s="15" t="s">
        <v>110</v>
      </c>
      <c r="B17" s="15"/>
      <c r="C17" s="15"/>
      <c r="D17" s="15"/>
      <c r="E17" s="15"/>
      <c r="F17" s="1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Maintenance Events</vt:lpstr>
      <vt:lpstr>Vendor Research</vt:lpstr>
      <vt:lpstr>Vendor Communication</vt:lpstr>
      <vt:lpstr>Completed Jobs</vt:lpstr>
      <vt:lpstr>Homeowner Feedback</vt:lpstr>
      <vt:lpstr>Validation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zhang</cp:lastModifiedBy>
  <cp:revision>0</cp:revision>
  <dcterms:created xsi:type="dcterms:W3CDTF">2026-02-26T23:27:54Z</dcterms:created>
  <dcterms:modified xsi:type="dcterms:W3CDTF">2026-03-04T21:01:50Z</dcterms:modified>
  <dc:language>en-US</dc:language>
</cp:coreProperties>
</file>